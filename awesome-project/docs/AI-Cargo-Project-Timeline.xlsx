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etailed Estimate" sheetId="1" state="visible" r:id="rId1"/>
    <sheet name="Custom vs API" sheetId="2" state="visible" r:id="rId2"/>
    <sheet name="API Pricing" sheetId="3" state="visible" r:id="rId3"/>
  </sheets>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
  </numFmts>
  <fonts count="30">
    <font>
      <name val="Calibri"/>
      <color theme="1"/>
      <sz val="11"/>
      <scheme val="minor"/>
    </font>
    <font>
      <name val="Arial"/>
      <b val="1"/>
      <color rgb="FF1F4E78"/>
      <sz val="14"/>
    </font>
    <font>
      <name val="Arial"/>
      <i val="1"/>
      <color rgb="FF000000"/>
      <sz val="9"/>
    </font>
    <font>
      <name val="Arial"/>
      <b val="1"/>
      <color rgb="FFFFFFFF"/>
      <sz val="10"/>
    </font>
    <font>
      <name val="Arial"/>
      <b val="1"/>
      <color rgb="FFFFFFFF"/>
      <sz val="11"/>
    </font>
    <font/>
    <font>
      <name val="Arial"/>
      <color rgb="FF000000"/>
      <sz val="10"/>
    </font>
    <font>
      <name val="Arial"/>
      <color rgb="FF0000FF"/>
      <sz val="10"/>
    </font>
    <font>
      <name val="Calibri"/>
      <color theme="1"/>
      <sz val="11"/>
    </font>
    <font>
      <name val="Arial"/>
      <b val="1"/>
      <color rgb="FF000000"/>
      <sz val="10"/>
    </font>
    <font>
      <name val="Calibri"/>
      <color theme="1"/>
      <scheme val="minor"/>
    </font>
    <font>
      <name val="Arial"/>
      <b val="1"/>
      <color rgb="FF000000"/>
      <sz val="11"/>
    </font>
    <font>
      <name val="Arial"/>
      <b val="1"/>
      <color rgb="FF1F4E78"/>
      <sz val="15"/>
    </font>
    <font>
      <name val="Arial"/>
      <b val="1"/>
      <color rgb="FF2E75B6"/>
      <sz val="11"/>
    </font>
    <font>
      <name val="Arial"/>
      <b val="1"/>
      <color rgb="FFFFFFFF"/>
    </font>
    <font>
      <name val="Arial"/>
      <color theme="1"/>
    </font>
    <font>
      <name val="Arial"/>
      <b val="1"/>
      <color rgb="FF375623"/>
    </font>
    <font>
      <name val="Arial"/>
      <b val="1"/>
      <color theme="1"/>
      <sz val="11"/>
    </font>
    <font>
      <name val="Arial"/>
      <b val="1"/>
      <color rgb="FF375623"/>
      <sz val="11"/>
    </font>
    <font>
      <name val="Arial"/>
      <i val="1"/>
      <color theme="1"/>
      <sz val="9"/>
    </font>
    <font>
      <name val="Arial"/>
      <i val="1"/>
      <color rgb="FFC00000"/>
      <sz val="9"/>
    </font>
    <font>
      <name val="Calibri"/>
      <color theme="1"/>
    </font>
    <font>
      <name val="Arial"/>
      <color rgb="FF000000"/>
      <sz val="9"/>
    </font>
    <font>
      <name val="Arial"/>
      <b val="1"/>
      <color rgb="FF0000FF"/>
      <sz val="10"/>
    </font>
    <font>
      <name val="Arial"/>
      <i val="1"/>
      <color rgb="FF808080"/>
      <sz val="9"/>
    </font>
    <font>
      <name val="Arial"/>
      <i val="1"/>
      <color rgb="FF808080"/>
      <sz val="8"/>
    </font>
    <font>
      <b val="1"/>
      <color rgb="FFFFFFFF"/>
      <sz val="10"/>
    </font>
    <font>
      <b val="1"/>
      <color rgb="00FFFFFF"/>
      <sz val="11"/>
    </font>
    <font>
      <b val="1"/>
      <i val="1"/>
    </font>
    <font>
      <b val="1"/>
    </font>
  </fonts>
  <fills count="12">
    <fill>
      <patternFill/>
    </fill>
    <fill>
      <patternFill patternType="lightGray"/>
    </fill>
    <fill>
      <patternFill patternType="solid">
        <fgColor rgb="FF1F4E78"/>
        <bgColor rgb="FF1F4E78"/>
      </patternFill>
    </fill>
    <fill>
      <patternFill patternType="solid">
        <fgColor rgb="FF2E75B6"/>
        <bgColor rgb="FF2E75B6"/>
      </patternFill>
    </fill>
    <fill>
      <patternFill patternType="solid">
        <fgColor rgb="FFF2F7FC"/>
        <bgColor rgb="FFF2F7FC"/>
      </patternFill>
    </fill>
    <fill>
      <patternFill patternType="solid">
        <fgColor rgb="FFDDEBF7"/>
        <bgColor rgb="FFDDEBF7"/>
      </patternFill>
    </fill>
    <fill>
      <patternFill patternType="solid">
        <fgColor rgb="FFFFE699"/>
        <bgColor rgb="FFFFE699"/>
      </patternFill>
    </fill>
    <fill>
      <patternFill patternType="solid">
        <fgColor rgb="FFE2EFDA"/>
        <bgColor rgb="FFE2EFDA"/>
      </patternFill>
    </fill>
    <fill>
      <patternFill patternType="solid">
        <fgColor rgb="FFFFF9E6"/>
        <bgColor rgb="FFFFF9E6"/>
      </patternFill>
    </fill>
    <fill>
      <patternFill patternType="solid">
        <fgColor rgb="FFFFF2CC"/>
        <bgColor rgb="FFFFF2CC"/>
      </patternFill>
    </fill>
    <fill>
      <patternFill patternType="solid">
        <fgColor rgb="00D6E4F0"/>
      </patternFill>
    </fill>
    <fill>
      <patternFill patternType="solid">
        <fgColor rgb="002E4057"/>
      </patternFill>
    </fill>
  </fills>
  <borders count="1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medium">
        <color rgb="FF808080"/>
      </top>
      <bottom style="thin">
        <color rgb="FFBFBFBF"/>
      </bottom>
    </border>
    <border>
      <left style="thin">
        <color rgb="FFBFBFBF"/>
      </left>
      <right style="thin">
        <color rgb="FFBFBFBF"/>
      </right>
      <top style="thick">
        <color rgb="FF000000"/>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s>
  <cellStyleXfs count="1">
    <xf numFmtId="0" fontId="0" fillId="0" borderId="0"/>
  </cellStyleXfs>
  <cellXfs count="94">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4" fillId="3" borderId="2" applyAlignment="1" pivotButton="0" quotePrefix="0" xfId="0">
      <alignment horizontal="left" vertical="center"/>
    </xf>
    <xf numFmtId="0" fontId="5" fillId="0" borderId="3" pivotButton="0" quotePrefix="0" xfId="0"/>
    <xf numFmtId="0" fontId="5" fillId="0" borderId="4" pivotButton="0" quotePrefix="0" xfId="0"/>
    <xf numFmtId="0" fontId="6" fillId="0" borderId="1" applyAlignment="1" pivotButton="0" quotePrefix="0" xfId="0">
      <alignment horizontal="left" vertical="top" wrapText="1"/>
    </xf>
    <xf numFmtId="3" fontId="7" fillId="0" borderId="1" applyAlignment="1" pivotButton="0" quotePrefix="0" xfId="0">
      <alignment horizontal="right"/>
    </xf>
    <xf numFmtId="0" fontId="6" fillId="4" borderId="1" applyAlignment="1" pivotButton="0" quotePrefix="0" xfId="0">
      <alignment horizontal="left" vertical="top" wrapText="1"/>
    </xf>
    <xf numFmtId="0" fontId="8" fillId="5" borderId="5" applyAlignment="1" pivotButton="0" quotePrefix="0" xfId="0">
      <alignment vertical="bottom"/>
    </xf>
    <xf numFmtId="0" fontId="9" fillId="5" borderId="5" applyAlignment="1" pivotButton="0" quotePrefix="0" xfId="0">
      <alignment horizontal="right" vertical="center"/>
    </xf>
    <xf numFmtId="3" fontId="9" fillId="5" borderId="5" applyAlignment="1" pivotButton="0" quotePrefix="0" xfId="0">
      <alignment horizontal="right" vertical="center"/>
    </xf>
    <xf numFmtId="3" fontId="7" fillId="0" borderId="1" applyAlignment="1" pivotButton="0" quotePrefix="0" xfId="0">
      <alignment horizontal="right"/>
    </xf>
    <xf numFmtId="0" fontId="4" fillId="3" borderId="2" applyAlignment="1" pivotButton="0" quotePrefix="0" xfId="0">
      <alignment horizontal="left" vertical="center"/>
    </xf>
    <xf numFmtId="0" fontId="6" fillId="0" borderId="1" applyAlignment="1" pivotButton="0" quotePrefix="0" xfId="0">
      <alignment horizontal="left" vertical="top" wrapText="1"/>
    </xf>
    <xf numFmtId="0" fontId="10" fillId="0" borderId="0" applyAlignment="1" pivotButton="0" quotePrefix="0" xfId="0">
      <alignment vertical="top"/>
    </xf>
    <xf numFmtId="0" fontId="8" fillId="6" borderId="6" applyAlignment="1" pivotButton="0" quotePrefix="0" xfId="0">
      <alignment vertical="bottom"/>
    </xf>
    <xf numFmtId="0" fontId="11" fillId="6" borderId="6" applyAlignment="1" pivotButton="0" quotePrefix="0" xfId="0">
      <alignment horizontal="right" vertical="center"/>
    </xf>
    <xf numFmtId="3" fontId="11" fillId="6" borderId="6" applyAlignment="1" pivotButton="0" quotePrefix="0" xfId="0">
      <alignment horizontal="right" vertical="center"/>
    </xf>
    <xf numFmtId="0" fontId="8" fillId="6" borderId="0" applyAlignment="1" pivotButton="0" quotePrefix="0" xfId="0">
      <alignment vertical="bottom"/>
    </xf>
    <xf numFmtId="0" fontId="11" fillId="6" borderId="0" applyAlignment="1" pivotButton="0" quotePrefix="0" xfId="0">
      <alignment horizontal="right" vertical="center"/>
    </xf>
    <xf numFmtId="3" fontId="11" fillId="6" borderId="0" applyAlignment="1" pivotButton="0" quotePrefix="0" xfId="0">
      <alignment horizontal="right" vertical="center"/>
    </xf>
    <xf numFmtId="0" fontId="12" fillId="0" borderId="0" pivotButton="0" quotePrefix="0" xfId="0"/>
    <xf numFmtId="0" fontId="8" fillId="0" borderId="0" applyAlignment="1" pivotButton="0" quotePrefix="0" xfId="0">
      <alignment vertical="bottom"/>
    </xf>
    <xf numFmtId="0" fontId="13" fillId="0" borderId="0" pivotButton="0" quotePrefix="0" xfId="0"/>
    <xf numFmtId="0" fontId="14" fillId="2" borderId="1" pivotButton="0" quotePrefix="0" xfId="0"/>
    <xf numFmtId="0" fontId="14" fillId="2" borderId="1" applyAlignment="1" pivotButton="0" quotePrefix="0" xfId="0">
      <alignment horizontal="center" wrapText="1"/>
    </xf>
    <xf numFmtId="0" fontId="15" fillId="0" borderId="1" pivotButton="0" quotePrefix="0" xfId="0"/>
    <xf numFmtId="3" fontId="15" fillId="0" borderId="1" applyAlignment="1" pivotButton="0" quotePrefix="0" xfId="0">
      <alignment horizontal="right"/>
    </xf>
    <xf numFmtId="3" fontId="10" fillId="0" borderId="0" pivotButton="0" quotePrefix="0" xfId="0"/>
    <xf numFmtId="3" fontId="16" fillId="7" borderId="1" applyAlignment="1" pivotButton="0" quotePrefix="0" xfId="0">
      <alignment horizontal="right"/>
    </xf>
    <xf numFmtId="0" fontId="17" fillId="6" borderId="6" applyAlignment="1" pivotButton="0" quotePrefix="0" xfId="0">
      <alignment vertical="bottom"/>
    </xf>
    <xf numFmtId="3" fontId="17" fillId="6" borderId="6" applyAlignment="1" pivotButton="0" quotePrefix="0" xfId="0">
      <alignment horizontal="right"/>
    </xf>
    <xf numFmtId="3" fontId="18" fillId="7" borderId="6" applyAlignment="1" pivotButton="0" quotePrefix="0" xfId="0">
      <alignment horizontal="right"/>
    </xf>
    <xf numFmtId="0" fontId="19" fillId="8" borderId="7" applyAlignment="1" pivotButton="0" quotePrefix="0" xfId="0">
      <alignment vertical="top"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0" fontId="1"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21" fillId="0" borderId="0" applyAlignment="1" pivotButton="0" quotePrefix="0" xfId="0">
      <alignment horizontal="center"/>
    </xf>
    <xf numFmtId="0" fontId="21" fillId="0" borderId="0" applyAlignment="1" pivotButton="0" quotePrefix="0" xfId="0">
      <alignment horizontal="left"/>
    </xf>
    <xf numFmtId="0" fontId="4" fillId="3" borderId="2"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6"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6" fillId="0" borderId="1" applyAlignment="1" pivotButton="0" quotePrefix="0" xfId="0">
      <alignment horizontal="center" vertical="center"/>
    </xf>
    <xf numFmtId="165" fontId="7" fillId="0" borderId="1" applyAlignment="1" pivotButton="0" quotePrefix="0" xfId="0">
      <alignment horizontal="center" vertical="center"/>
    </xf>
    <xf numFmtId="0" fontId="22" fillId="0" borderId="1" applyAlignment="1" pivotButton="0" quotePrefix="0" xfId="0">
      <alignment horizontal="left" vertical="center" wrapText="1"/>
    </xf>
    <xf numFmtId="0" fontId="6" fillId="4" borderId="1" applyAlignment="1" pivotButton="0" quotePrefix="0" xfId="0">
      <alignment horizontal="center" vertical="center" wrapText="1"/>
    </xf>
    <xf numFmtId="0" fontId="9" fillId="4" borderId="1" applyAlignment="1" pivotButton="0" quotePrefix="0" xfId="0">
      <alignment horizontal="center" vertical="center" wrapText="1"/>
    </xf>
    <xf numFmtId="164" fontId="6" fillId="4" borderId="1" applyAlignment="1" pivotButton="0" quotePrefix="0" xfId="0">
      <alignment horizontal="center" vertical="center"/>
    </xf>
    <xf numFmtId="0" fontId="22" fillId="4" borderId="1" applyAlignment="1" pivotButton="0" quotePrefix="0" xfId="0">
      <alignment horizontal="left" vertical="center" wrapText="1"/>
    </xf>
    <xf numFmtId="0" fontId="6" fillId="0" borderId="1" applyAlignment="1" pivotButton="0" quotePrefix="0" xfId="0">
      <alignment horizontal="center" vertical="center"/>
    </xf>
    <xf numFmtId="0" fontId="2" fillId="0" borderId="0" applyAlignment="1" pivotButton="0" quotePrefix="0" xfId="0">
      <alignment horizontal="center" vertical="center" wrapText="1"/>
    </xf>
    <xf numFmtId="0" fontId="9" fillId="0" borderId="0" applyAlignment="1" pivotButton="0" quotePrefix="0" xfId="0">
      <alignment horizontal="center" vertical="center"/>
    </xf>
    <xf numFmtId="0" fontId="23" fillId="9" borderId="1" applyAlignment="1" pivotButton="0" quotePrefix="0" xfId="0">
      <alignment horizontal="center" vertical="center"/>
    </xf>
    <xf numFmtId="0" fontId="24" fillId="0" borderId="0" applyAlignment="1" pivotButton="0" quotePrefix="0" xfId="0">
      <alignment horizontal="center" vertical="center" wrapText="1"/>
    </xf>
    <xf numFmtId="0" fontId="8" fillId="2" borderId="1" applyAlignment="1" pivotButton="0" quotePrefix="0" xfId="0">
      <alignment horizontal="left" vertical="bottom"/>
    </xf>
    <xf numFmtId="165" fontId="6" fillId="0" borderId="1" applyAlignment="1" pivotButton="0" quotePrefix="0" xfId="0">
      <alignment horizontal="center" vertical="center"/>
    </xf>
    <xf numFmtId="166" fontId="6" fillId="0" borderId="1" applyAlignment="1" pivotButton="0" quotePrefix="0" xfId="0">
      <alignment horizontal="center" vertical="center"/>
    </xf>
    <xf numFmtId="0" fontId="8" fillId="0" borderId="1" applyAlignment="1" pivotButton="0" quotePrefix="0" xfId="0">
      <alignment horizontal="left" vertical="bottom"/>
    </xf>
    <xf numFmtId="165" fontId="6" fillId="4" borderId="1" applyAlignment="1" pivotButton="0" quotePrefix="0" xfId="0">
      <alignment horizontal="center" vertical="center"/>
    </xf>
    <xf numFmtId="0" fontId="8" fillId="4" borderId="1" applyAlignment="1" pivotButton="0" quotePrefix="0" xfId="0">
      <alignment horizontal="left" vertical="bottom"/>
    </xf>
    <xf numFmtId="166" fontId="6" fillId="4" borderId="1" applyAlignment="1" pivotButton="0" quotePrefix="0" xfId="0">
      <alignment horizontal="center" vertical="center"/>
    </xf>
    <xf numFmtId="0" fontId="2" fillId="8" borderId="7" applyAlignment="1" pivotButton="0" quotePrefix="0" xfId="0">
      <alignment horizontal="center" vertical="center" wrapText="1"/>
    </xf>
    <xf numFmtId="0" fontId="25" fillId="0" borderId="0" applyAlignment="1" pivotButton="0" quotePrefix="0" xfId="0">
      <alignment horizontal="center" vertical="bottom"/>
    </xf>
    <xf numFmtId="0" fontId="0" fillId="0" borderId="0" pivotButton="0" quotePrefix="0" xfId="0"/>
    <xf numFmtId="0" fontId="4" fillId="3" borderId="1" applyAlignment="1" pivotButton="0" quotePrefix="0" xfId="0">
      <alignment horizontal="left" vertical="center"/>
    </xf>
    <xf numFmtId="0" fontId="0" fillId="0" borderId="3" pivotButton="0" quotePrefix="0" xfId="0"/>
    <xf numFmtId="0" fontId="0" fillId="0" borderId="4" pivotButton="0" quotePrefix="0" xfId="0"/>
    <xf numFmtId="0" fontId="19" fillId="8" borderId="1"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4" fillId="3" borderId="1" applyAlignment="1" pivotButton="0" quotePrefix="0" xfId="0">
      <alignment horizontal="center" vertical="center"/>
    </xf>
    <xf numFmtId="0" fontId="2" fillId="8" borderId="1" applyAlignment="1" pivotButton="0" quotePrefix="0" xfId="0">
      <alignment horizontal="center" vertical="center" wrapText="1"/>
    </xf>
    <xf numFmtId="0" fontId="26" fillId="10" borderId="0" applyAlignment="1" pivotButton="0" quotePrefix="0" xfId="0">
      <alignment vertical="top" wrapText="1"/>
    </xf>
    <xf numFmtId="0" fontId="0" fillId="0" borderId="0" applyAlignment="1" pivotButton="0" quotePrefix="0" xfId="0">
      <alignment vertical="top" wrapText="1"/>
    </xf>
    <xf numFmtId="0" fontId="27" fillId="11" borderId="0" applyAlignment="1" pivotButton="0" quotePrefix="0" xfId="0">
      <alignment vertical="center" wrapText="1"/>
    </xf>
    <xf numFmtId="0" fontId="0" fillId="11" borderId="0" pivotButton="0" quotePrefix="0" xfId="0"/>
    <xf numFmtId="0" fontId="28" fillId="0" borderId="0" pivotButton="0" quotePrefix="0" xfId="0"/>
    <xf numFmtId="0" fontId="29"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82"/>
  <sheetViews>
    <sheetView workbookViewId="0">
      <pane ySplit="4" topLeftCell="A5" activePane="bottomLeft" state="frozen"/>
      <selection pane="bottomLeft" activeCell="B6" sqref="B6"/>
    </sheetView>
  </sheetViews>
  <sheetFormatPr baseColWidth="8" defaultColWidth="14.43" defaultRowHeight="15" customHeight="1"/>
  <cols>
    <col width="32" customWidth="1" style="74" min="1" max="1"/>
    <col width="55" customWidth="1" style="74" min="2" max="2"/>
    <col width="14" customWidth="1" style="74" min="3" max="3"/>
    <col width="14" customWidth="1" style="74" min="4" max="4"/>
    <col width="55" customWidth="1" style="74" min="5" max="5"/>
    <col width="8.710000000000001" customWidth="1" style="74" min="6" max="6"/>
  </cols>
  <sheetData>
    <row r="1" ht="21.75" customHeight="1" s="74">
      <c r="A1" s="1" t="inlineStr">
        <is>
          <t>AI Cargo Identification &amp; Lifting Assistance — Effort Estimate (by Discipline)</t>
        </is>
      </c>
    </row>
    <row r="2">
      <c r="A2" s="2" t="inlineStr">
        <is>
          <t>Indicative hours are EFFORT (man-hours), not calendar time. Blue figures can be adjusted. Mobile-app solution; no OCR.</t>
        </is>
      </c>
    </row>
    <row r="4">
      <c r="A4" s="3" t="inlineStr">
        <is>
          <t>Task / Activity</t>
        </is>
      </c>
      <c r="B4" s="3" t="inlineStr">
        <is>
          <t>Description</t>
        </is>
      </c>
      <c r="C4" s="4" t="inlineStr">
        <is>
          <t>Custom Hours</t>
        </is>
      </c>
      <c r="D4" s="3" t="inlineStr">
        <is>
          <t>Third-party</t>
        </is>
      </c>
      <c r="E4" s="3" t="inlineStr">
        <is>
          <t>Notes</t>
        </is>
      </c>
    </row>
    <row r="5" ht="19.5" customHeight="1" s="74">
      <c r="A5" s="75" t="inlineStr">
        <is>
          <t>BACKEND — FastAPI (Python 3.12)</t>
        </is>
      </c>
      <c r="B5" s="76" t="n"/>
      <c r="C5" s="76" t="n"/>
      <c r="D5" s="76" t="n"/>
      <c r="E5" s="77" t="n"/>
    </row>
    <row r="6" ht="27.75" customHeight="1" s="74">
      <c r="A6" s="16" t="inlineStr">
        <is>
          <t>Project scaffolding, config &amp; environment</t>
        </is>
      </c>
      <c r="B6" s="16" t="inlineStr">
        <is>
          <t>Sets up the foundational project structure, environment variables, and dependency management using uv and pydantic-settings. Covers Python 3.12 runtime, multi-environment config (dev / staging / prod), and deterministic dependency locking.</t>
        </is>
      </c>
      <c r="C6" s="14" t="n">
        <v>8</v>
      </c>
      <c r="D6" s="16" t="n"/>
      <c r="E6" s="16" t="inlineStr">
        <is>
          <t>Completed. Uses uv for dependency locking and Pydantic v2 for all settings. Config is loaded from .env and never committed to version control.</t>
        </is>
      </c>
    </row>
    <row r="7" ht="27.75" customHeight="1" s="74">
      <c r="A7" s="10" t="inlineStr">
        <is>
          <t>API architecture, routing &amp; middleware</t>
        </is>
      </c>
      <c r="B7" s="10" t="inlineStr">
        <is>
          <t>Defines the versioned route structure (/api/v1/auth, /api/v1/portal, /api/v1/admin), the middleware stack (RequestContext -&gt; Auth -&gt; RBAC -&gt; CORS), and standardised error handling using RFC 9457 problem+json envelopes. Covers request ID injection and structured logging on every request.</t>
        </is>
      </c>
      <c r="C7" s="14" t="n">
        <v>8</v>
      </c>
      <c r="D7" s="10" t="n"/>
      <c r="E7" s="10" t="inlineStr">
        <is>
          <t>Completed. Middleware order is critical — CORS must run after Auth or browser preflights return 401. All success responses use the {data, meta, links} envelope.</t>
        </is>
      </c>
    </row>
    <row r="8" ht="27.75" customHeight="1" s="74">
      <c r="A8" s="16" t="inlineStr">
        <is>
          <t>Image upload endpoint</t>
        </is>
      </c>
      <c r="B8" s="16" t="inlineStr">
        <is>
          <t>Receives multipart/form-data uploads containing the cargo photo plus metadata (cargo type, notes, tags, idempotency key). Validates file type (PNG/JPEG/WebP/GIF), enforces the 10 MB size limit, and returns a submission record immediately.</t>
        </is>
      </c>
      <c r="C8" s="14" t="n">
        <v>8</v>
      </c>
      <c r="D8" s="16" t="n"/>
      <c r="E8" s="16" t="inlineStr">
        <is>
          <t>Completed. Idempotency-Key header prevents duplicate submissions on retry. A reused key returns the original record rather than creating a new one.</t>
        </is>
      </c>
    </row>
    <row r="9" ht="27.75" customHeight="1" s="74">
      <c r="A9" s="10" t="inlineStr">
        <is>
          <t>Image storage &amp; retrieval service</t>
        </is>
      </c>
      <c r="B9" s="10" t="inlineStr">
        <is>
          <t>Persists uploaded images and AI-generated overlay images to local file storage organised by submission ID. Serves images back securely, ensuring users can only access files belonging to their own submissions.</t>
        </is>
      </c>
      <c r="C9" s="14" t="n">
        <v>12</v>
      </c>
      <c r="D9" s="10" t="n"/>
      <c r="E9" s="10" t="inlineStr">
        <is>
          <t>Completed. Overlay images are generated by the detection pipeline and stored alongside originals. Direct URL access to another user's file returns 403.</t>
        </is>
      </c>
    </row>
    <row r="10" ht="120" customHeight="1" s="74">
      <c r="A10" s="16" t="inlineStr">
        <is>
          <t>AI inference / model-serving interface</t>
        </is>
      </c>
      <c r="B10" s="16" t="inlineStr">
        <is>
          <t>Acts as the bridge between the FastAPI application and the heavy ML detection environment. Spawns the detection runner as a subprocess so the ML environment stays isolated — a detection failure never crashes the main API.</t>
        </is>
      </c>
      <c r="C10" s="14" t="n">
        <v>12</v>
      </c>
      <c r="D10" s="16" t="n"/>
      <c r="E10" s="16" t="inlineStr">
        <is>
          <t>Completed. Detection runs via scripts/detect_runner.py as a subprocess. Uses YOLO-OBB (cargo_obb_best.pt) for localisation and SAM 1 ViT-B for segmentation.</t>
        </is>
      </c>
    </row>
    <row r="11" ht="120" customHeight="1" s="74">
      <c r="A11" s="10" t="inlineStr">
        <is>
          <t>Pipeline orchestration</t>
        </is>
      </c>
      <c r="B11" s="10" t="inlineStr">
        <is>
          <t>Coordinates the full detection pipeline in strict sequence: YOLO-OBB locates the cargo, SAM 1 segments it, the acceptance gate checks quality, and the result is written back to the database. Each stage only runs if the previous one passed.</t>
        </is>
      </c>
      <c r="C11" s="14" t="n">
        <v>12</v>
      </c>
      <c r="D11" s="10" t="n"/>
      <c r="E11" s="10" t="inlineStr">
        <is>
          <t>Completed. Acceptance gate: score &gt;= 6.0, bounding box &lt;= 60% of frame, border leak &lt;= 12%. A failed gate writes detection_status = no_cargo_found.</t>
        </is>
      </c>
    </row>
    <row r="12" ht="27.75" customHeight="1" s="74">
      <c r="A12" s="16" t="inlineStr">
        <is>
          <t>Async job handling &amp; result callback</t>
        </is>
      </c>
      <c r="B12" s="16" t="inlineStr">
        <is>
          <t>Queues the detection job after a submission is saved so the upload response is immediate and the user is not kept waiting. Handles timeout and failure gracefully — a detection failure marks the submission for manual review rather than losing it.</t>
        </is>
      </c>
      <c r="C12" s="14" t="n">
        <v>8</v>
      </c>
      <c r="D12" s="16" t="n"/>
      <c r="E12" s="16" t="inlineStr">
        <is>
          <t>Completed. The detection job runs asynchronously after the HTTP response is returned. Failure writes detection_status = error and the submission remains reviewable by a supervisor.</t>
        </is>
      </c>
    </row>
    <row r="13" ht="27.75" customHeight="1" s="74">
      <c r="A13" s="10" t="inlineStr">
        <is>
          <t>Results &amp; estimation API</t>
        </is>
      </c>
      <c r="B13" s="10" t="inlineStr">
        <is>
          <t>Returns the full detection result including bounding box, segmentation mask, confidence score, estimated dimensions, and weight. Wraps all outputs in the standard {data, meta, links} envelope with explicit [AI-ESTIMATE] labels on every calculated value.</t>
        </is>
      </c>
      <c r="C13" s="14" t="n">
        <v>16</v>
      </c>
      <c r="D13" s="10" t="n"/>
      <c r="E13" s="10" t="inlineStr">
        <is>
          <t>Completed. No certified weight is produced — only estimates. Every estimate carries the assumption used to calculate it (reference size, density value, formula).</t>
        </is>
      </c>
    </row>
    <row r="14" ht="27.75" customHeight="1" s="74">
      <c r="A14" s="16" t="inlineStr">
        <is>
          <t>Supervisor edit / override endpoint</t>
        </is>
      </c>
      <c r="B14" s="16" t="inlineStr">
        <is>
          <t>Allows an admin or supervisor to correct any AI-estimated value (dimensions, weight, cargo type) before or after the approval decision. The original AI output is preserved alongside the correction in the audit log.</t>
        </is>
      </c>
      <c r="C14" s="14" t="n">
        <v>8</v>
      </c>
      <c r="D14" s="16" t="n"/>
      <c r="E14" s="16" t="inlineStr">
        <is>
          <t>Completed. All overrides are audit-logged with a timestamp and the actor's user ID. The override does not erase the original AI result — both are visible in submission history.</t>
        </is>
      </c>
    </row>
    <row r="15" ht="27.75" customHeight="1" s="74">
      <c r="A15" s="10" t="inlineStr">
        <is>
          <t>Manifest ingestion &amp; parsing</t>
        </is>
      </c>
      <c r="B15" s="10" t="inlineStr">
        <is>
          <t>Reads and parses the cargo manifest or declaration document provided at upload time. Stores the structured manifest data linked to the submission so it can later be compared against the AI-estimated values.</t>
        </is>
      </c>
      <c r="C15" s="14" t="n">
        <v>10</v>
      </c>
      <c r="D15" s="10" t="n"/>
      <c r="E15" s="10" t="inlineStr">
        <is>
          <t>In scope. The exact manifest format (JSON, CSV, or PDF extract) must be confirmed with the client before implementation. PDF parsing adds complexity and may extend this estimate.</t>
        </is>
      </c>
    </row>
    <row r="16" ht="27.75" customHeight="1" s="74">
      <c r="A16" s="16" t="inlineStr">
        <is>
          <t>Manifest cross-check &amp; mismatch flags</t>
        </is>
      </c>
      <c r="B16" s="16" t="inlineStr">
        <is>
          <t>Compares the AI-estimated cargo type and weight range against the declared values in the manifest and flags the submission for review when the difference exceeds the configured threshold. The AI decision step uses cargo_present, cargo_type, and matches_declaration as its rubric.</t>
        </is>
      </c>
      <c r="C16" s="14" t="n">
        <v>10</v>
      </c>
      <c r="D16" s="16" t="n"/>
      <c r="E16" s="16" t="inlineStr">
        <is>
          <t>In scope. Mismatch thresholds (e.g. weight deviation &gt; 15%) to be confirmed with client. The OpenAI decision step (model gpt-6-luna) auto-approves when all confidence scores &gt;= 0.8.</t>
        </is>
      </c>
    </row>
    <row r="17" ht="120" customHeight="1" s="74">
      <c r="A17" s="10" t="inlineStr">
        <is>
          <t>Confidence scoring &amp; threshold rules</t>
        </is>
      </c>
      <c r="B17" s="10" t="inlineStr">
        <is>
          <t>Assigns a confidence score to each detected parameter and applies configurable thresholds to determine whether a result passes the acceptance gate automatically or is routed to manual review. Scores below threshold mark the submission for human inspection.</t>
        </is>
      </c>
      <c r="C17" s="14" t="n">
        <v>16</v>
      </c>
      <c r="D17" s="10" t="n"/>
      <c r="E17" s="10" t="inlineStr">
        <is>
          <t>Completed. Current thresholds: score &gt;= 6.0, box &lt;= 60% of frame, border leak &lt;= 12% for detection; AI decision confidence &gt;= 0.8 for auto-approve. Both are configurable without redeployment.</t>
        </is>
      </c>
    </row>
    <row r="18" ht="27.75" customHeight="1" s="74">
      <c r="A18" s="16" t="inlineStr">
        <is>
          <t>Authentication (login / session)</t>
        </is>
      </c>
      <c r="B18" s="16" t="inlineStr">
        <is>
          <t>Handles user registration, login, and session management using JWT HS256 tokens stored in an httpOnly session_token cookie. Passwords are hashed with PBKDF2-SHA256 at 260,000 iterations — never stored in plain text.</t>
        </is>
      </c>
      <c r="C18" s="14" t="n">
        <v>10</v>
      </c>
      <c r="D18" s="16" t="n"/>
      <c r="E18" s="16" t="inlineStr">
        <is>
          <t>Completed. Supports both httpOnly cookie (browser portal) and Bearer token (API clients). Token expiry and refresh behaviour are configured via environment variables.</t>
        </is>
      </c>
    </row>
    <row r="19" ht="27.75" customHeight="1" s="74">
      <c r="A19" s="10" t="inlineStr">
        <is>
          <t>Roles &amp; permissions</t>
        </is>
      </c>
      <c r="B19" s="10" t="inlineStr">
        <is>
          <t>Defines two roles — user and admin — each with a distinct set of permissions enforced at the route level by RBAC middleware. Admins can view all submissions, manage users, and manage the cargo type catalogue.</t>
        </is>
      </c>
      <c r="C19" s="14" t="n">
        <v>10</v>
      </c>
      <c r="D19" s="10" t="n"/>
      <c r="E19" s="10" t="inlineStr">
        <is>
          <t>Completed. The role is read from the database on every request. Users only see and can modify their own submissions; admins see everything.</t>
        </is>
      </c>
    </row>
    <row r="20" ht="27.75" customHeight="1" s="74">
      <c r="A20" s="16" t="inlineStr">
        <is>
          <t>Audit log &amp; history / search API</t>
        </is>
      </c>
      <c r="B20" s="16" t="inlineStr">
        <is>
          <t>Appends a record to the append-only audit log for every state change, approval, rejection, override, and user management action. Exposes a paginated, filterable history and search API for admins and compliance queries.</t>
        </is>
      </c>
      <c r="C20" s="14" t="n">
        <v>16</v>
      </c>
      <c r="D20" s="16" t="n"/>
      <c r="E20" s="16" t="inlineStr">
        <is>
          <t>Completed. Soft delete is used throughout — records are deactivated, never permanently removed. The audit log is the legal record of all actions and must be included in every backup.</t>
        </is>
      </c>
    </row>
    <row r="21" ht="27.75" customHeight="1" s="74">
      <c r="A21" s="10" t="inlineStr">
        <is>
          <t>Performance &amp; scalability</t>
        </is>
      </c>
      <c r="B21" s="10" t="inlineStr">
        <is>
          <t>Implements async request handling and connection pooling to support concurrent uploads and detection jobs. Adds caching for catalogue lookups and configurable rate-limiting on the AI decision endpoint to avoid runaway costs.</t>
        </is>
      </c>
      <c r="C21" s="14" t="n">
        <v>24</v>
      </c>
      <c r="D21" s="10" t="n"/>
      <c r="E21" s="10" t="inlineStr">
        <is>
          <t>Depends on expected daily volume. Confirm target concurrent users and images per day with the client before finalising the async strategy. GPU availability affects detection throughput significantly.</t>
        </is>
      </c>
    </row>
    <row r="22" ht="27.75" customHeight="1" s="74">
      <c r="A22" s="16" t="inlineStr">
        <is>
          <t>Security hardening, API docs &amp; prod config</t>
        </is>
      </c>
      <c r="B22" s="16" t="inlineStr">
        <is>
          <t>Applies OWASP-aligned security controls — input sanitisation, secure headers, rate limiting, and removal of debug endpoints. Generates the OpenAPI 3.1 schema and configures production settings including worker count, timeouts, and logging levels.</t>
        </is>
      </c>
      <c r="C22" s="14" t="n">
        <v>24</v>
      </c>
      <c r="D22" s="16" t="n"/>
      <c r="E22" s="16" t="inlineStr">
        <is>
          <t>Core security controls completed. A penetration test is recommended before go-live. API documentation is auto-generated from route declarations and available at /docs (Swagger UI) and /redoc.</t>
        </is>
      </c>
    </row>
    <row r="23" ht="15.75" customHeight="1" s="74">
      <c r="A23" s="11" t="n"/>
      <c r="B23" s="12" t="inlineStr">
        <is>
          <t>Backend (FastAPI) — Subtotal</t>
        </is>
      </c>
      <c r="C23" s="13">
        <f>SUM(C6:C22)</f>
        <v/>
      </c>
      <c r="D23" s="11" t="n"/>
      <c r="E23" s="11" t="n"/>
    </row>
    <row r="24" ht="22" customHeight="1" s="74">
      <c r="A24" s="90" t="inlineStr">
        <is>
          <t>MODEL TRAINING — AI / ML Components (Backend-linked)</t>
        </is>
      </c>
      <c r="B24" s="91" t="n"/>
      <c r="C24" s="91" t="n"/>
      <c r="D24" s="91" t="n"/>
      <c r="E24" s="91" t="n"/>
    </row>
    <row r="25" ht="60" customHeight="1" s="74">
      <c r="A25" s="89" t="inlineStr">
        <is>
          <t>Data Cleaning &amp; Dataset Preparation</t>
        </is>
      </c>
      <c r="B25" s="89" t="inlineStr">
        <is>
          <t>Remove duplicates, blurry/dark images, and partially visible loads. Balance across the four cargo types and validate all labels match the catalogue.</t>
        </is>
      </c>
      <c r="C25" s="89" t="n">
        <v>12</v>
      </c>
      <c r="D25" s="89" t="n">
        <v>4</v>
      </c>
      <c r="E25" s="89" t="inlineStr">
        <is>
          <t>API route: ~50 image validation set only. Custom route: quality here determines model accuracy — assign a second reviewer to spot-check 10% of annotations.</t>
        </is>
      </c>
    </row>
    <row r="26" ht="60" customHeight="1" s="74">
      <c r="A26" s="89" t="inlineStr">
        <is>
          <t>Model Training &amp; Fine-tuning</t>
        </is>
      </c>
      <c r="B26" s="89" t="inlineStr">
        <is>
          <t>Fine-tune YOLO-OBB and SAM 1 ViT-B on the prepared dataset. For the API route, this phase is replaced by prompt engineering and output-schema validation.</t>
        </is>
      </c>
      <c r="C26" s="89" t="n">
        <v>30</v>
      </c>
      <c r="D26" s="89" t="n">
        <v>6</v>
      </c>
      <c r="E26" s="89" t="inlineStr">
        <is>
          <t>Custom: ~6-8 hrs GPU wall-clock, 50 epochs, batch 16, lr 0.001. Save best checkpoint by val mAP. API: 6 hrs prompt engineering. Never promote a checkpoint without running the full test suite.</t>
        </is>
      </c>
    </row>
    <row r="27" ht="60" customHeight="1" s="74">
      <c r="A27" s="89" t="inlineStr">
        <is>
          <t>Model Testing &amp; Accuracy Validation</t>
        </is>
      </c>
      <c r="B27" s="89" t="inlineStr">
        <is>
          <t>Evaluate detection, dimension, and weight estimates against scale and tape-measure ground truth on 50+ real port cargo photos. Covers edge cases and per-metric accuracy reporting.</t>
        </is>
      </c>
      <c r="C27" s="89" t="n">
        <v>18</v>
      </c>
      <c r="D27" s="89" t="n">
        <v>8</v>
      </c>
      <c r="E27" s="89" t="inlineStr">
        <is>
          <t>Accuracy targets (weight ±15%, classification ≥ 90%) must be agreed with client before this phase. Generate a formal accuracy report for sign-off. Budget one iteration cycle if targets are not met first pass.</t>
        </is>
      </c>
    </row>
    <row r="28" ht="60" customHeight="1" s="74">
      <c r="A28" s="89" t="inlineStr">
        <is>
          <t>Model Refinement &amp; Ongoing Feedback Loop</t>
        </is>
      </c>
      <c r="B28" s="89" t="inlineStr">
        <is>
          <t>After every 500 real submissions, review flagged errors, re-label mistakes, update the training set, and rerun accuracy tests. API route: prompt refinement only, no retraining.</t>
        </is>
      </c>
      <c r="C28" s="89" t="n">
        <v>32</v>
      </c>
      <c r="D28" s="89" t="n">
        <v>6</v>
      </c>
      <c r="E28" s="89" t="inlineStr">
        <is>
          <t>Per cycle: 6 hrs data cleaning + 10 hrs training + 8 hrs testing + 8 hrs review. Always run regression tests before promoting a new model. Version-control every prompt change.</t>
        </is>
      </c>
    </row>
    <row r="29" ht="18" customHeight="1" s="74">
      <c r="B29" s="92" t="inlineStr">
        <is>
          <t>Model Training (Backend AI Components) — Subtotal</t>
        </is>
      </c>
      <c r="C29" s="93">
        <f>SUM(C25:C28)</f>
        <v/>
      </c>
      <c r="D29" s="0">
        <f>SUM(D25:D28)</f>
        <v/>
      </c>
    </row>
    <row r="30" ht="27.75" customHeight="1" s="74">
      <c r="A30" s="75" t="inlineStr">
        <is>
          <t>FRONTEND — Mobile App (React Native, iOS &amp; Android)</t>
        </is>
      </c>
      <c r="B30" s="76" t="n"/>
      <c r="C30" s="76" t="n"/>
      <c r="D30" s="76" t="n"/>
      <c r="E30" s="77" t="n"/>
    </row>
    <row r="31" ht="27.75" customHeight="1" s="74">
      <c r="A31" s="16" t="inlineStr">
        <is>
          <t>App project setup (iOS + Android build config)</t>
        </is>
      </c>
      <c r="B31" s="16" t="inlineStr">
        <is>
          <t>Initialises the React Native project with iOS and Android build configurations, code-signing profiles, and environment-specific build variants (dev, staging, prod). Sets up the CI/CD pipeline for automated app builds.</t>
        </is>
      </c>
      <c r="C31" s="14" t="n">
        <v>10</v>
      </c>
      <c r="D31" s="16" t="n"/>
      <c r="E31" s="16" t="inlineStr">
        <is>
          <t>Current portal is web-based (HTML/CSS/Vanilla JS). The React Native mobile app is a planned phase. iOS App Store and Google Play developer accounts will be required before distribution.</t>
        </is>
      </c>
    </row>
    <row r="32" ht="27.75" customHeight="1" s="74">
      <c r="A32" s="10" t="inlineStr">
        <is>
          <t>Navigation, theme &amp; base UI components</t>
        </is>
      </c>
      <c r="B32" s="10" t="inlineStr">
        <is>
          <t>Defines the app's navigation structure (stack and tab navigators) and the shared design system including colours, typography, spacing, and reusable components. Ensures a consistent visual language across all screens and both platforms.</t>
        </is>
      </c>
      <c r="C32" s="14" t="n">
        <v>10</v>
      </c>
      <c r="D32" s="10" t="n"/>
      <c r="E32" s="10" t="inlineStr">
        <is>
          <t>Theme should align with the web portal's visual identity for a consistent brand experience. Accessibility (font scaling, contrast ratios) must be considered from the start, not retrofitted.</t>
        </is>
      </c>
    </row>
    <row r="33" ht="27.75" customHeight="1" s="74">
      <c r="A33" s="16" t="inlineStr">
        <is>
          <t>Camera capture screen</t>
        </is>
      </c>
      <c r="B33" s="16" t="inlineStr">
        <is>
          <t>Requests camera permissions on first launch and provides a live camera viewfinder with capture controls. Guides the worker to keep the full load in frame and hold the phone steady before taking the photo.</t>
        </is>
      </c>
      <c r="C33" s="14" t="n">
        <v>12</v>
      </c>
      <c r="D33" s="16" t="n"/>
      <c r="E33" s="16" t="inlineStr">
        <is>
          <t>iOS and Android handle camera permissions differently — both flows must be tested. The screen should show a framing guide and warn the worker if the load is too close to the edge of the frame.</t>
        </is>
      </c>
    </row>
    <row r="34" ht="27.75" customHeight="1" s="74">
      <c r="A34" s="10" t="inlineStr">
        <is>
          <t>Photo preview &amp; upload</t>
        </is>
      </c>
      <c r="B34" s="10" t="inlineStr">
        <is>
          <t>Shows a preview of each captured photo before sending, with options to retake individual photos. Handles the multipart upload to the backend with a progress indicator and automatic retry on network failure.</t>
        </is>
      </c>
      <c r="C34" s="14" t="n">
        <v>6</v>
      </c>
      <c r="D34" s="10" t="n"/>
      <c r="E34" s="10" t="inlineStr">
        <is>
          <t>Supports uploading 1-3 photos per submission. The first photo is used for all measurements — the upload screen should make this clear. Minimum acceptable photo size should be validated on-device before upload.</t>
        </is>
      </c>
    </row>
    <row r="35" ht="27.75" customHeight="1" s="74">
      <c r="A35" s="16" t="inlineStr">
        <is>
          <t>Results screen — layout &amp; data</t>
        </is>
      </c>
      <c r="B35" s="16" t="inlineStr">
        <is>
          <t>Displays the detection results returned by the backend including estimated dimensions, weight range, and confidence score. Lays out the data clearly with [AI-ESTIMATE] labels prominently visible next to every calculated value.</t>
        </is>
      </c>
      <c r="C35" s="14" t="n">
        <v>14</v>
      </c>
      <c r="D35" s="16" t="n"/>
      <c r="E35" s="16" t="inlineStr">
        <is>
          <t>All estimated values must carry their [AI-ESTIMATE] label on screen — this is a safety requirement, not a UI preference. The result screen must wait for the detection job to complete or show a clear loading state.</t>
        </is>
      </c>
    </row>
    <row r="36" ht="27.75" customHeight="1" s="74">
      <c r="A36" s="10" t="inlineStr">
        <is>
          <t>Results screen — confidence &amp; range display</t>
        </is>
      </c>
      <c r="B36" s="10" t="inlineStr">
        <is>
          <t>Shows the confidence score as a visual indicator (e.g. colour band or percentage bar) so the worker immediately understands how certain the result is. Displays weight as a range rather than a single number to communicate the inherent uncertainty honestly.</t>
        </is>
      </c>
      <c r="C36" s="14" t="n">
        <v>4</v>
      </c>
      <c r="D36" s="10" t="n"/>
      <c r="E36" s="10" t="inlineStr">
        <is>
          <t>Low-confidence results (below the acceptance threshold) should visually prompt the worker to consider retaking the photo. Do not hide or minimise low-confidence warnings.</t>
        </is>
      </c>
    </row>
    <row r="37" ht="27.75" customHeight="1" s="74">
      <c r="A37" s="16" t="inlineStr">
        <is>
          <t>Results screen — image + detected overlay</t>
        </is>
      </c>
      <c r="B37" s="16" t="inlineStr">
        <is>
          <t>Renders the original cargo photo alongside the AI-generated overlay image that shows the detected boundary drawn around the cargo. Allows the worker to visually confirm that the system found the correct object and not the net or straps.</t>
        </is>
      </c>
      <c r="C37" s="14" t="n">
        <v>6</v>
      </c>
      <c r="D37" s="16" t="n"/>
      <c r="E37" s="16" t="inlineStr">
        <is>
          <t>The overlay image path is returned by the backend after detection completes. The screen should poll or subscribe for this result — the detection job runs asynchronously after the upload response.</t>
        </is>
      </c>
    </row>
    <row r="38" ht="27.75" customHeight="1" s="74">
      <c r="A38" s="10" t="inlineStr">
        <is>
          <t>Supervisor review screen</t>
        </is>
      </c>
      <c r="B38" s="10" t="inlineStr">
        <is>
          <t>Shows the supervisor a detailed view of a submission including both photos, all detected values, the manifest declaration, mismatch flags, and the current status. Provides all the context needed to make an informed approve or reject decision.</t>
        </is>
      </c>
      <c r="C38" s="14" t="n">
        <v>12</v>
      </c>
      <c r="D38" s="10" t="n"/>
      <c r="E38" s="10" t="inlineStr">
        <is>
          <t>Supervisors see all submissions. Workers only see their own. The review screen is the most safety-critical UI in the application — keep it clear and unambiguous.</t>
        </is>
      </c>
    </row>
    <row r="39" ht="27.75" customHeight="1" s="74">
      <c r="A39" s="16" t="inlineStr">
        <is>
          <t>Supervisor edit fields</t>
        </is>
      </c>
      <c r="B39" s="16" t="inlineStr">
        <is>
          <t>Provides inline edit controls for each AI-estimated value so the supervisor can correct a dimension, weight, or cargo type before approving. Each change requires a reason field so the correction is meaningful in the audit log.</t>
        </is>
      </c>
      <c r="C39" s="14" t="n">
        <v>8</v>
      </c>
      <c r="D39" s="16" t="n"/>
      <c r="E39" s="16" t="inlineStr">
        <is>
          <t>All edits are written to the audit log with a timestamp and the supervisor's user ID. The original AI value is preserved alongside the correction — history shows both what the AI reported and what the supervisor changed it to.</t>
        </is>
      </c>
    </row>
    <row r="40" ht="27.75" customHeight="1" s="74">
      <c r="A40" s="10" t="inlineStr">
        <is>
          <t>Approve / authorize action</t>
        </is>
      </c>
      <c r="B40" s="10" t="inlineStr">
        <is>
          <t>Presents a clear confirm-before-submit approval flow so the supervisor cannot accidentally approve a submission with a single tap. Submits the decision to the backend, updates the status to approved or rejected, and returns to the review queue.</t>
        </is>
      </c>
      <c r="C40" s="14" t="n">
        <v>12</v>
      </c>
      <c r="D40" s="10" t="n"/>
      <c r="E40" s="10" t="inlineStr">
        <is>
          <t>A rejection requires a comment explaining the reason — this is written to the audit log and visible to the submitting worker. The approval action is irreversible through the app; admin override is the only correction path.</t>
        </is>
      </c>
    </row>
    <row r="41" ht="15.75" customHeight="1" s="74">
      <c r="A41" s="16" t="inlineStr">
        <is>
          <t>Mismatch warnings &amp; alerts</t>
        </is>
      </c>
      <c r="B41" s="16" t="inlineStr">
        <is>
          <t>Displays a prominent warning banner when the AI estimate differs from the manifest declaration by more than the configured threshold. The banner must be acknowledged before the approve action becomes available.</t>
        </is>
      </c>
      <c r="C41" s="14" t="n">
        <v>8</v>
      </c>
      <c r="D41" s="16" t="n"/>
      <c r="E41" s="16" t="inlineStr">
        <is>
          <t>This is a safety-critical UI element. The warning must be impossible to dismiss accidentally. Log the acknowledgement — it must appear in the submission's audit trail.</t>
        </is>
      </c>
    </row>
    <row r="42" ht="15.75" customHeight="1" s="74">
      <c r="A42" s="10" t="inlineStr">
        <is>
          <t>History list screen</t>
        </is>
      </c>
      <c r="B42" s="10" t="inlineStr">
        <is>
          <t>Shows a paginated list of the user's past submissions with status chips (draft / submitted / approved / rejected) and quick-filter controls by date range and cargo type. Status chips must be immediately readable at a glance.</t>
        </is>
      </c>
      <c r="C42" s="14" t="n">
        <v>12</v>
      </c>
      <c r="D42" s="10" t="n"/>
      <c r="E42" s="10" t="inlineStr">
        <is>
          <t>Admins see all submissions. Workers see only their own. Filter and sort state should persist across app sessions so users do not have to re-apply filters every time they open the list.</t>
        </is>
      </c>
    </row>
    <row r="43" ht="19.5" customHeight="1" s="74">
      <c r="A43" s="16" t="inlineStr">
        <is>
          <t>History detail, search &amp; filter</t>
        </is>
      </c>
      <c r="B43" s="76" t="n"/>
      <c r="C43" s="76" t="n"/>
      <c r="D43" s="76" t="n"/>
      <c r="E43" s="77" t="n"/>
    </row>
    <row r="44" ht="27.75" customHeight="1" s="74">
      <c r="A44" s="10" t="inlineStr">
        <is>
          <t>Login screen &amp; session</t>
        </is>
      </c>
      <c r="B44" s="10" t="inlineStr">
        <is>
          <t>Provides an email/password login form with clear per-field validation feedback. Stores the session token securely (httpOnly cookie on web, encrypted secure storage on mobile) and handles token expiry with a clear redirect to the login screen.</t>
        </is>
      </c>
      <c r="C44" s="14" t="n">
        <v>8</v>
      </c>
      <c r="D44" s="10" t="n"/>
      <c r="E44" s="10" t="inlineStr">
        <is>
          <t>Session token expiry is configured via environment variable. The login screen must handle the expired-session redirect gracefully — do not lose the user's in-progress work without warning.</t>
        </is>
      </c>
    </row>
    <row r="45" ht="27.75" customHeight="1" s="74">
      <c r="A45" s="16" t="inlineStr">
        <is>
          <t>Role-based access UI</t>
        </is>
      </c>
      <c r="B45" s="16" t="inlineStr">
        <is>
          <t>Hides or disables controls that the current user's role does not permit. Supervisor-only actions (approve, reject, edit values) are not shown to workers at all — not greyed out, not visible.</t>
        </is>
      </c>
      <c r="C45" s="14" t="n">
        <v>8</v>
      </c>
      <c r="D45" s="16" t="n"/>
      <c r="E45" s="16" t="inlineStr">
        <is>
          <t>Role is enforced server-side. The UI hiding is a UX convenience; the real security boundary is the API's RBAC middleware. Never rely on client-side hiding alone as a security control.</t>
        </is>
      </c>
    </row>
    <row r="46" ht="27.75" customHeight="1" s="74">
      <c r="A46" s="11" t="n"/>
      <c r="B46" s="12" t="inlineStr">
        <is>
          <t>Frontend (Mobile App — iOS &amp; Android) — Subtotal</t>
        </is>
      </c>
      <c r="C46" s="13">
        <f>SUM(C26:C40)</f>
        <v/>
      </c>
      <c r="D46" s="11" t="n"/>
      <c r="E46" s="11" t="n"/>
    </row>
    <row r="47" ht="27.75" customHeight="1" s="74"/>
    <row r="48" ht="27.75" customHeight="1" s="74">
      <c r="A48" s="75" t="inlineStr">
        <is>
          <t>DATABASE — PostgreSQL + SQLAlchemy</t>
        </is>
      </c>
      <c r="B48" s="76" t="n"/>
      <c r="C48" s="76" t="n"/>
      <c r="D48" s="76" t="n"/>
      <c r="E48" s="77" t="n"/>
    </row>
    <row r="49" ht="15.75" customHeight="1" s="74">
      <c r="A49" s="16" t="inlineStr">
        <is>
          <t>Schema design</t>
        </is>
      </c>
      <c r="B49" s="16" t="inlineStr">
        <is>
          <t>Designs the relational schema covering users, submissions, cargo_types, detection_results, ai_decisions, audit_log, and idempotency_keys tables. Defines all foreign keys, unique constraints, soft-delete columns, and created_at / updated_at timestamps.</t>
        </is>
      </c>
      <c r="C49" s="14" t="n">
        <v>8</v>
      </c>
      <c r="D49" s="16" t="n"/>
      <c r="E49" s="16" t="inlineStr">
        <is>
          <t>Completed. 12 Alembic migrations applied (0001 through 0012_ai_decision). Schema is at head. Uses PostgreSQL 17 with psycopg 3 as the async driver.</t>
        </is>
      </c>
    </row>
    <row r="50" ht="15.75" customHeight="1" s="74">
      <c r="A50" s="10" t="inlineStr">
        <is>
          <t>SQLAlchemy models &amp; migrations</t>
        </is>
      </c>
      <c r="B50" s="10" t="inlineStr">
        <is>
          <t>Writes SQLAlchemy 2.x ORM models that mirror the schema exactly and generates reviewed Alembic migration scripts for each schema change. Every migration is reversible and tested against both upgrade and downgrade paths.</t>
        </is>
      </c>
      <c r="C50" s="14" t="n">
        <v>6</v>
      </c>
      <c r="D50" s="10" t="n"/>
      <c r="E50" s="10" t="inlineStr">
        <is>
          <t>Completed. Uses Alembic with Mako templating. Migration history is the authoritative record of all schema changes — never edit the database schema directly in production.</t>
        </is>
      </c>
    </row>
    <row r="51" ht="19.5" customHeight="1" s="74">
      <c r="A51" s="16" t="inlineStr">
        <is>
          <t>Data storage &amp; retention setup</t>
        </is>
      </c>
      <c r="B51" s="76" t="n"/>
      <c r="C51" s="76" t="n"/>
      <c r="D51" s="76" t="n"/>
      <c r="E51" s="77" t="n"/>
    </row>
    <row r="52" ht="120" customHeight="1" s="74">
      <c r="A52" s="10" t="inlineStr">
        <is>
          <t>Indexing &amp; query optimization</t>
        </is>
      </c>
      <c r="B52" s="10" t="inlineStr">
        <is>
          <t>Adds database indexes on the columns most frequently used in filters, sorts, and joins (user_id, status, created_at, cargo_type_id) and profiles slow queries using EXPLAIN ANALYSE to identify and resolve bottlenecks.</t>
        </is>
      </c>
      <c r="C52" s="14" t="n">
        <v>6</v>
      </c>
      <c r="D52" s="10" t="n"/>
      <c r="E52" s="10" t="inlineStr">
        <is>
          <t>Core indexes completed. Further tuning may be needed once real production usage volumes are known. Review query performance after the first 10,000 submissions are in the database.</t>
        </is>
      </c>
    </row>
    <row r="53" ht="120" customHeight="1" s="74">
      <c r="A53" s="16" t="inlineStr">
        <is>
          <t>Backup &amp; audit-trail setup</t>
        </is>
      </c>
      <c r="B53" s="16" t="inlineStr">
        <is>
          <t>Configures automated daily backups of the full PostgreSQL database with off-site storage and a documented, tested restore procedure. The audit_log table is append-only and must be included in every backup without exception.</t>
        </is>
      </c>
      <c r="C53" s="14" t="n">
        <v>8</v>
      </c>
      <c r="D53" s="16" t="n"/>
      <c r="E53" s="16" t="inlineStr">
        <is>
          <t>Backup frequency and retention window (e.g. 30 days rolling) to be confirmed with client. Test the restore procedure — an untested backup is not a backup. Schedule a quarterly restore drill.</t>
        </is>
      </c>
    </row>
    <row r="54" ht="120" customHeight="1" s="74">
      <c r="A54" s="11" t="n"/>
      <c r="B54" s="12" t="inlineStr">
        <is>
          <t>Database (PostgreSQL + SQLAlchemy) — Subtotal</t>
        </is>
      </c>
      <c r="C54" s="13">
        <f>SUM(C44:C48)</f>
        <v/>
      </c>
      <c r="D54" s="11" t="n"/>
      <c r="E54" s="11" t="n"/>
    </row>
    <row r="55" ht="120" customHeight="1" s="74"/>
    <row r="56" ht="120" customHeight="1" s="74">
      <c r="A56" s="75" t="inlineStr">
        <is>
          <t>AI / COMPUTER VISION MODEL TRAINING</t>
        </is>
      </c>
      <c r="B56" s="76" t="n"/>
      <c r="C56" s="76" t="n"/>
      <c r="D56" s="76" t="n"/>
      <c r="E56" s="77" t="n"/>
    </row>
    <row r="57" ht="120" customHeight="1" s="74">
      <c r="A57" s="16" t="inlineStr">
        <is>
          <t>Data collection plan &amp; labeling setup</t>
        </is>
      </c>
      <c r="B57" s="16" t="inlineStr">
        <is>
          <t>Defines the set of cargo types, photo angles, and lighting conditions needed for training or API evaluation. In the third-party API route this is reduced to a small validation set of real site photos used to confirm the API meets accuracy targets.</t>
        </is>
      </c>
      <c r="C57" s="14" t="n">
        <v>12</v>
      </c>
      <c r="D57" s="14" t="n">
        <v>2</v>
      </c>
      <c r="E57" s="16" t="inlineStr">
        <is>
          <t>API route: pre-trained model, no large dataset collection needed. A test set of approximately 50 real cargo photos from the client's site is sufficient to validate the integration and measure accuracy before go-live.</t>
        </is>
      </c>
    </row>
    <row r="58" ht="120" customHeight="1" s="74">
      <c r="A58" s="10" t="inlineStr">
        <is>
          <t>Image annotation / dataset preparation</t>
        </is>
      </c>
      <c r="B58" s="10" t="inlineStr">
        <is>
          <t>Labels sample cargo images with bounding boxes and segmentation masks for training or evaluation. In the API route, labeling is almost entirely skipped — only a small validation set is annotated to confirm the API's output quality on the client's specific cargo types.</t>
        </is>
      </c>
      <c r="C58" s="14" t="n">
        <v>40</v>
      </c>
      <c r="D58" s="14" t="n">
        <v>2</v>
      </c>
      <c r="E58" s="17" t="inlineStr">
        <is>
          <t>API route: labeling almost skipped. Only a small test set needed. In the custom model route, labeling is the most time-consuming task and its quality directly determines the final model accuracy.</t>
        </is>
      </c>
    </row>
    <row r="59" ht="120" customHeight="1" s="74">
      <c r="A59" s="16" t="inlineStr">
        <is>
          <t>Object detection &amp; segmentation</t>
        </is>
      </c>
      <c r="B59" s="16" t="inlineStr">
        <is>
          <t>Trains or integrates a model to locate the cargo object in the photo and draw a tight outline around it, excluding nets, straps, chains, and hooks. In the API route, the third-party model handles this — the work is integration, output parsing, and accuracy validation.</t>
        </is>
      </c>
      <c r="C59" s="14" t="n">
        <v>40</v>
      </c>
      <c r="D59" s="14" t="n">
        <v>6</v>
      </c>
      <c r="E59" s="16" t="inlineStr">
        <is>
          <t>Completed using YOLO-OBB (cargo_obb_best.pt) for detection and SAM 1 ViT-B for segmentation. In the API route, the provider does the detection; the team writes the integration and validates accuracy on real site photos.</t>
        </is>
      </c>
    </row>
    <row r="60" ht="120" customHeight="1" s="74">
      <c r="A60" s="10" t="inlineStr">
        <is>
          <t>Dimension estimation (pallet reference)</t>
        </is>
      </c>
      <c r="B60" s="10" t="inlineStr">
        <is>
          <t>Estimates the real-world dimensions of the cargo in metres using a known reference object in the photo (e.g. a standard pallet or container corner) as a scale ruler. This logic is proprietary and stays the same regardless of whether a custom model or third-party API is used.</t>
        </is>
      </c>
      <c r="C60" s="14" t="n">
        <v>32</v>
      </c>
      <c r="D60" s="14" t="n">
        <v>32</v>
      </c>
      <c r="E60" s="17" t="inlineStr">
        <is>
          <t>Uses ref_m / ref_px pixel-to-metre scaling. Same effort in both routes — this is not part of any AI model. A 10% error in the reference measurement produces approximately a 30% error in the weight estimate (volume error grows in three dimensions).</t>
        </is>
      </c>
    </row>
    <row r="61" ht="120" customHeight="1" s="74">
      <c r="A61" s="16" t="inlineStr">
        <is>
          <t>Depth estimation (software)</t>
        </is>
      </c>
      <c r="B61" s="16" t="inlineStr">
        <is>
          <t>Improves the depth-axis estimate — how far the load extends front to back — using monocular depth cues from a single flat photo, without requiring stereo cameras or specialist hardware. In the API route, the provider gives a rough estimate refined by our own geometry logic.</t>
        </is>
      </c>
      <c r="C61" s="14" t="n">
        <v>24</v>
      </c>
      <c r="D61" s="14" t="n">
        <v>6</v>
      </c>
      <c r="E61" s="17" t="inlineStr">
        <is>
          <t>Single-photo depth is inherently less accurate than width and height, which are seen directly. All depth-derived values are always labeled [AI-ESTIMATE]. For unusual loads, a second photo from the side significantly improves accuracy.</t>
        </is>
      </c>
    </row>
    <row r="62" ht="15.75" customHeight="1" s="74">
      <c r="A62" s="10" t="inlineStr">
        <is>
          <t>Material / type classification model</t>
        </is>
      </c>
      <c r="B62" s="10" t="inlineStr">
        <is>
          <t>Identifies the type of cargo (e.g. scrap steel, thermal coal, agricultural grain) from the photo. In the API route, this is done by the third-party model via a structured prompt — the work is prompt engineering, output validation, and mapping to the cargo_types catalogue.</t>
        </is>
      </c>
      <c r="C62" s="14" t="n">
        <v>40</v>
      </c>
      <c r="D62" s="14" t="n">
        <v>6</v>
      </c>
      <c r="E62" s="17" t="inlineStr">
        <is>
          <t>Current catalogue: scrap-steel, thermal-coal, construction-gravel, agricultural-grain, other. Expanding to new cargo types requires adding a row to the cargo_types table with the correct density value. The operator must select the correct type at upload.</t>
        </is>
      </c>
    </row>
    <row r="63" ht="15.75" customHeight="1" s="74">
      <c r="A63" s="16" t="inlineStr">
        <is>
          <t>Weight estimation logic (density range)</t>
        </is>
      </c>
      <c r="B63" s="16" t="inlineStr">
        <is>
          <t>Calculates an estimated weight range from the measured volume and the typical density of the identified cargo type. This logic is entirely proprietary in both routes — the AI provides the shape measurement, the system applies the density formula.</t>
        </is>
      </c>
      <c r="C63" s="14" t="n">
        <v>24</v>
      </c>
      <c r="D63" s="14" t="n">
        <v>24</v>
      </c>
      <c r="E63" s="17" t="inlineStr">
        <is>
          <t>Formula: weight = density x L x min(L,H) x H. Density values seeded from cargo_types table (scrap-steel 7850, coal 800, gravel 1700, grain 750 kg/m3). Always labeled [AI-ESTIMATE]. Never presented as a certified weighed figure.</t>
        </is>
      </c>
    </row>
    <row r="64" ht="19.5" customHeight="1" s="74">
      <c r="A64" s="10" t="inlineStr">
        <is>
          <t>Accuracy testing &amp; tuning</t>
        </is>
      </c>
      <c r="B64" s="76" t="n"/>
      <c r="C64" s="76" t="n"/>
      <c r="D64" s="76" t="n"/>
      <c r="E64" s="77" t="n"/>
    </row>
    <row r="65" ht="27.75" customHeight="1" s="74">
      <c r="A65" s="16" t="inlineStr">
        <is>
          <t>Model integration into pipeline</t>
        </is>
      </c>
      <c r="B65" s="16" t="inlineStr">
        <is>
          <t>Wires all model outputs into a single detection pipeline: detect &gt; segment &gt; measure &gt; classify &gt; estimate weight &gt; acceptance gate &gt; write result to database. In the API route, this includes prompt engineering, rate-limit and timeout handling, and data-privacy controls.</t>
        </is>
      </c>
      <c r="C65" s="14" t="n">
        <v>32</v>
      </c>
      <c r="D65" s="14" t="n">
        <v>14</v>
      </c>
      <c r="E65" s="17" t="inlineStr">
        <is>
          <t>API route adds per-image cost and network latency. Confirm acceptable response time with client (target: under 10 seconds from upload to result). Cargo photos sent to a third-party API require explicit data-privacy approval from the client.</t>
        </is>
      </c>
    </row>
    <row r="66" ht="27.75" customHeight="1" s="74">
      <c r="A66" s="10" t="inlineStr">
        <is>
          <t>Model refinement from feedback</t>
        </is>
      </c>
      <c r="B66" s="10" t="inlineStr">
        <is>
          <t>Incorporates real-world feedback from site use to improve accuracy over time. In the custom model route this means periodic retraining on new labeled examples. In the API route it means refining prompts and updating post-processing logic — no model retraining needed.</t>
        </is>
      </c>
      <c r="C66" s="14" t="n">
        <v>32</v>
      </c>
      <c r="D66" s="14" t="n">
        <v>6</v>
      </c>
      <c r="E66" s="17" t="inlineStr">
        <is>
          <t>API route: no model retraining. Only prompt refinement based on observed errors. Schedule a review after the first 500 real submissions to assess accuracy and decide whether prompt changes or a move to a custom model are warranted.</t>
        </is>
      </c>
    </row>
    <row r="67" ht="27.75" customHeight="1" s="74">
      <c r="A67" s="11" t="n"/>
      <c r="B67" s="12" t="inlineStr">
        <is>
          <t>AI / Computer Vision — Subtotal</t>
        </is>
      </c>
      <c r="C67" s="13">
        <f>SUM(C52:C61)</f>
        <v/>
      </c>
      <c r="D67" s="13">
        <f>SUM(D52:D61)</f>
        <v/>
      </c>
      <c r="E67" s="11" t="n"/>
    </row>
    <row r="68" ht="27.75" customHeight="1" s="74"/>
    <row r="69" ht="27.75" customHeight="1" s="74">
      <c r="A69" s="75" t="inlineStr">
        <is>
          <t>COMMON — PM, QA, Discovery &amp; Deployment (shared)</t>
        </is>
      </c>
      <c r="B69" s="76" t="n"/>
      <c r="C69" s="76" t="n"/>
      <c r="D69" s="76" t="n"/>
      <c r="E69" s="77" t="n"/>
    </row>
    <row r="70" ht="27.75" customHeight="1" s="74">
      <c r="A70" s="16" t="inlineStr">
        <is>
          <t>Discovery &amp; requirement finalization</t>
        </is>
      </c>
      <c r="B70" s="16" t="inlineStr">
        <is>
          <t>Holds a structured discovery session to confirm the final scope, agree accuracy targets for weight and dimension estimates, establish expected daily image volumes, and confirm target platforms (web portal vs mobile app). Produces a signed-off requirements document.</t>
        </is>
      </c>
      <c r="C70" s="14" t="n">
        <v>24</v>
      </c>
      <c r="D70" s="16" t="n"/>
      <c r="E70" s="16" t="inlineStr">
        <is>
          <t>This is the most important task in the project. Scope changes after requirements sign-off have direct cost and timeline implications. All parties must agree in writing before development proceeds past this point.</t>
        </is>
      </c>
    </row>
    <row r="71" ht="15.75" customHeight="1" s="74">
      <c r="A71" s="10" t="inlineStr">
        <is>
          <t>Solution architecture &amp; planning</t>
        </is>
      </c>
      <c r="B71" s="10" t="inlineStr">
        <is>
          <t>Designs the overall technical architecture including the API layer, database schema, ML detection pipeline, file storage topology, and deployment environment. Produces architecture diagrams and a written decision record for each significant technical choice.</t>
        </is>
      </c>
      <c r="C71" s="14" t="n">
        <v>16</v>
      </c>
      <c r="D71" s="10" t="n"/>
      <c r="E71" s="10" t="inlineStr">
        <is>
          <t>Core architecture is largely completed (FastAPI + PostgreSQL 17 + subprocess ML pipeline + static web portal). This task formalises and documents the decisions already made and identifies any remaining gaps before the build phase.</t>
        </is>
      </c>
    </row>
    <row r="72" ht="15.75" customHeight="1" s="74">
      <c r="A72" s="16" t="inlineStr">
        <is>
          <t>QA / end-to-end testing &amp; UAT</t>
        </is>
      </c>
      <c r="B72" s="16" t="inlineStr">
        <is>
          <t>Runs a full end-to-end test suite covering all user flows from photo upload through detection, AI decision, supervisor review, and approval. Follows with a structured UAT session with the client's actual users on real cargo photos from their site.</t>
        </is>
      </c>
      <c r="C72" s="14" t="n">
        <v>40</v>
      </c>
      <c r="D72" s="16" t="n"/>
      <c r="E72" s="16" t="inlineStr">
        <is>
          <t>Currently 322 automated tests (unit + contract). UAT on real site photos under real lighting conditions is essential before go-live — lab tests do not catch field issues. Budget time for a second UAT round if the first reveals material issues.</t>
        </is>
      </c>
    </row>
    <row r="73" ht="15.75" customHeight="1" s="74">
      <c r="A73" s="10" t="inlineStr">
        <is>
          <t>DevOps / deployment &amp; environment setup</t>
        </is>
      </c>
      <c r="B73" s="10" t="inlineStr">
        <is>
          <t>Sets up the production and staging environments, CI/CD pipelines, automated test runs on each code push, and monitoring and alerting. Confirms that the deployment host meets the ML pipeline's CPU (and optionally GPU) requirements for acceptable detection speed.</t>
        </is>
      </c>
      <c r="C73" s="14" t="n">
        <v>24</v>
      </c>
      <c r="D73" s="10" t="n"/>
      <c r="E73" s="10" t="inlineStr">
        <is>
          <t>No container or cloud vendor is assumed — the system runs on any host with Python 3.12 and PostgreSQL 17. Confirm the hosting environment with the client early. GPU availability significantly improves detection throughput.</t>
        </is>
      </c>
    </row>
    <row r="74" ht="15.75" customHeight="1" s="74">
      <c r="A74" s="16" t="inlineStr">
        <is>
          <t>Documentation &amp; training</t>
        </is>
      </c>
      <c r="B74" s="16" t="inlineStr">
        <is>
          <t>Writes user-facing documentation for each role (site worker, supervisor, lifting engineer, manager) and conducts at least one on-site training session with the actual users. Includes quick-reference cards for the photo capture workflow.</t>
        </is>
      </c>
      <c r="C74" s="14" t="n">
        <v>20</v>
      </c>
      <c r="D74" s="16" t="n"/>
      <c r="E74" s="16" t="inlineStr">
        <is>
          <t>Client_Guide.md and Understanding_Document.md are the starting point for user documentation. On-site training is more effective than written docs alone — plan for at least a half-day session with each user group.</t>
        </is>
      </c>
    </row>
    <row r="75" ht="15.75" customHeight="1" s="74">
      <c r="A75" s="10" t="inlineStr">
        <is>
          <t>Project management</t>
        </is>
      </c>
      <c r="B75" s="10" t="inlineStr">
        <is>
          <t>Coordinates across all disciplines, tracks progress against the timeline, manages risks and blockers, and communicates status to the client on a regular cadence. Includes a formal change-control process for any scope changes after requirements sign-off.</t>
        </is>
      </c>
      <c r="C75" s="14" t="n">
        <v>32</v>
      </c>
      <c r="D75" s="10" t="n"/>
      <c r="E75" s="10" t="inlineStr">
        <is>
          <t>Weekly status report recommended as a minimum. Any scope change after requirements sign-off goes through a formal change request with an updated effort and cost estimate before work begins.</t>
        </is>
      </c>
    </row>
    <row r="76" ht="15.75" customHeight="1" s="74">
      <c r="A76" s="11" t="n"/>
      <c r="B76" s="12" t="inlineStr">
        <is>
          <t>Common (PM / QA / Deployment) — Subtotal</t>
        </is>
      </c>
      <c r="C76" s="13">
        <f>SUM(C65:C70)</f>
        <v/>
      </c>
      <c r="D76" s="11" t="n"/>
      <c r="E76" s="11" t="n"/>
    </row>
    <row r="77" ht="15.75" customHeight="1" s="74"/>
    <row r="78" ht="15.75" customHeight="1" s="74">
      <c r="A78" s="18" t="n"/>
      <c r="B78" s="19" t="n"/>
      <c r="C78" s="20" t="n"/>
      <c r="D78" s="18" t="n"/>
      <c r="E78" s="18" t="n"/>
    </row>
    <row r="79" ht="15.75" customHeight="1" s="74">
      <c r="A79" s="21" t="n"/>
      <c r="B79" s="22" t="inlineStr">
        <is>
          <t>Frontend/Backend/Database</t>
        </is>
      </c>
      <c r="C79" s="23">
        <f>C23+C41+C49</f>
        <v/>
      </c>
      <c r="D79" s="23">
        <f>C23+C41+C49</f>
        <v/>
      </c>
      <c r="E79" s="21" t="n"/>
    </row>
    <row r="80" ht="15.75" customHeight="1" s="74">
      <c r="A80" s="21" t="n"/>
      <c r="B80" s="22" t="inlineStr">
        <is>
          <t>Model Training</t>
        </is>
      </c>
      <c r="C80" s="23">
        <f>C62+C71</f>
        <v/>
      </c>
      <c r="D80" s="23">
        <f>D62+C71</f>
        <v/>
      </c>
      <c r="E80" s="21" t="n"/>
    </row>
    <row r="81" ht="15.75" customHeight="1" s="74">
      <c r="A81" s="21" t="n"/>
      <c r="B81" s="22" t="inlineStr">
        <is>
          <t>TOTAL PROJECT EFFORT</t>
        </is>
      </c>
      <c r="C81" s="23">
        <f>SUM(C74:C75)</f>
        <v/>
      </c>
      <c r="D81" s="23">
        <f>SUM(D74:D75)</f>
        <v/>
      </c>
      <c r="E81" s="21" t="n"/>
    </row>
    <row r="82" ht="15.75" customHeight="1" s="74">
      <c r="A82" s="21" t="n"/>
      <c r="B82" s="22" t="n"/>
      <c r="C82" s="23" t="n"/>
      <c r="D82" s="21" t="n"/>
      <c r="E82" s="21" t="n"/>
    </row>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sheetData>
  <mergeCells count="6">
    <mergeCell ref="A43:E43"/>
    <mergeCell ref="A2:E2"/>
    <mergeCell ref="A64:E64"/>
    <mergeCell ref="A51:E51"/>
    <mergeCell ref="A1:E1"/>
    <mergeCell ref="A5:E5"/>
  </mergeCells>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4.43" defaultRowHeight="15" customHeight="1"/>
  <cols>
    <col width="86.56999999999999" customWidth="1" style="74" min="1" max="1"/>
    <col width="23.86" customWidth="1" style="74" min="2" max="2"/>
    <col width="13" customWidth="1" style="74" min="3" max="3"/>
    <col width="14" customWidth="1" style="74" min="4" max="4"/>
  </cols>
  <sheetData>
    <row r="1">
      <c r="A1" s="24" t="inlineStr">
        <is>
          <t>AI Cargo Identification &amp; Lifting Assistance</t>
        </is>
      </c>
      <c r="G1" s="25" t="n"/>
      <c r="H1" s="25" t="n"/>
      <c r="I1" s="25" t="n"/>
      <c r="J1" s="25" t="n"/>
      <c r="K1" s="25" t="n"/>
      <c r="L1" s="25" t="n"/>
      <c r="M1" s="25" t="n"/>
      <c r="N1" s="25" t="n"/>
      <c r="O1" s="25" t="n"/>
      <c r="P1" s="25" t="n"/>
      <c r="Q1" s="25" t="n"/>
      <c r="R1" s="25" t="n"/>
      <c r="S1" s="25" t="n"/>
      <c r="T1" s="25" t="n"/>
      <c r="U1" s="25" t="n"/>
      <c r="V1" s="25" t="n"/>
      <c r="W1" s="25" t="n"/>
      <c r="X1" s="25" t="n"/>
      <c r="Y1" s="25" t="n"/>
      <c r="Z1" s="25" t="n"/>
    </row>
    <row r="2">
      <c r="A2" s="26" t="inlineStr">
        <is>
          <t>Effort Comparison — Custom Model vs Third-Party API  (indicative)</t>
        </is>
      </c>
      <c r="G2" s="25" t="n"/>
      <c r="H2" s="25" t="n"/>
      <c r="I2" s="25" t="n"/>
      <c r="J2" s="25" t="n"/>
      <c r="K2" s="25" t="n"/>
      <c r="L2" s="25" t="n"/>
      <c r="M2" s="25" t="n"/>
      <c r="N2" s="25" t="n"/>
      <c r="O2" s="25" t="n"/>
      <c r="P2" s="25" t="n"/>
      <c r="Q2" s="25" t="n"/>
      <c r="R2" s="25" t="n"/>
      <c r="S2" s="25" t="n"/>
      <c r="T2" s="25" t="n"/>
      <c r="U2" s="25" t="n"/>
      <c r="V2" s="25" t="n"/>
      <c r="W2" s="25" t="n"/>
      <c r="X2" s="25" t="n"/>
      <c r="Y2" s="25" t="n"/>
      <c r="Z2" s="25" t="n"/>
    </row>
    <row r="3">
      <c r="A3" s="25" t="n"/>
      <c r="B3" s="25" t="n"/>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25" t="n"/>
      <c r="Z3" s="25" t="n"/>
    </row>
    <row r="4">
      <c r="A4" s="27" t="inlineStr">
        <is>
          <t>Discipline</t>
        </is>
      </c>
      <c r="B4" s="28" t="inlineStr">
        <is>
          <t>Hours (Custom)</t>
        </is>
      </c>
      <c r="C4" s="28" t="inlineStr">
        <is>
          <t>Hours (Third-Party API)</t>
        </is>
      </c>
      <c r="D4" s="28" t="inlineStr">
        <is>
          <t>Hours Saved</t>
        </is>
      </c>
      <c r="E4" s="25" t="n"/>
      <c r="F4" s="25" t="n"/>
      <c r="G4" s="25" t="n"/>
      <c r="H4" s="25" t="n"/>
      <c r="I4" s="25" t="n"/>
      <c r="J4" s="25" t="n"/>
      <c r="K4" s="25" t="n"/>
      <c r="L4" s="25" t="n"/>
      <c r="M4" s="25" t="n"/>
      <c r="N4" s="25" t="n"/>
      <c r="O4" s="25" t="n"/>
      <c r="P4" s="25" t="n"/>
      <c r="Q4" s="25" t="n"/>
      <c r="R4" s="25" t="n"/>
      <c r="S4" s="25" t="n"/>
      <c r="T4" s="25" t="n"/>
      <c r="U4" s="25" t="n"/>
      <c r="V4" s="25" t="n"/>
      <c r="W4" s="25" t="n"/>
      <c r="X4" s="25" t="n"/>
      <c r="Y4" s="25" t="n"/>
      <c r="Z4" s="25" t="n"/>
    </row>
    <row r="5">
      <c r="A5" s="29" t="inlineStr">
        <is>
          <t>Backend (FastAPI)</t>
        </is>
      </c>
      <c r="B5" s="30" t="n">
        <v>212</v>
      </c>
      <c r="C5" s="31" t="n">
        <v>212</v>
      </c>
      <c r="D5" s="32">
        <f>B5-C5</f>
        <v/>
      </c>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row>
    <row r="6">
      <c r="A6" s="29" t="inlineStr">
        <is>
          <t>Frontend (Mobile App)</t>
        </is>
      </c>
      <c r="B6" s="30" t="n">
        <v>176</v>
      </c>
      <c r="C6" s="31" t="n">
        <v>176</v>
      </c>
      <c r="D6" s="32">
        <f>B6-C6</f>
        <v/>
      </c>
      <c r="E6" s="25" t="n"/>
      <c r="F6" s="25" t="n"/>
      <c r="G6" s="25" t="n"/>
      <c r="H6" s="25" t="n"/>
      <c r="I6" s="25" t="n"/>
      <c r="J6" s="25" t="n"/>
      <c r="K6" s="25" t="n"/>
      <c r="L6" s="25" t="n"/>
      <c r="M6" s="25" t="n"/>
      <c r="N6" s="25" t="n"/>
      <c r="O6" s="25" t="n"/>
      <c r="P6" s="25" t="n"/>
      <c r="Q6" s="25" t="n"/>
      <c r="R6" s="25" t="n"/>
      <c r="S6" s="25" t="n"/>
      <c r="T6" s="25" t="n"/>
      <c r="U6" s="25" t="n"/>
      <c r="V6" s="25" t="n"/>
      <c r="W6" s="25" t="n"/>
      <c r="X6" s="25" t="n"/>
      <c r="Y6" s="25" t="n"/>
      <c r="Z6" s="25" t="n"/>
    </row>
    <row r="7">
      <c r="A7" s="29" t="inlineStr">
        <is>
          <t>Database (PostgreSQL)</t>
        </is>
      </c>
      <c r="B7" s="30" t="n">
        <v>64</v>
      </c>
      <c r="C7" s="30" t="n">
        <v>64</v>
      </c>
      <c r="D7" s="32">
        <f>B7-C7</f>
        <v/>
      </c>
      <c r="E7" s="25" t="n"/>
      <c r="F7" s="25" t="n"/>
      <c r="G7" s="25" t="n"/>
      <c r="H7" s="25" t="n"/>
      <c r="I7" s="25" t="n"/>
      <c r="J7" s="25" t="n"/>
      <c r="K7" s="25" t="n"/>
      <c r="L7" s="25" t="n"/>
      <c r="M7" s="25" t="n"/>
      <c r="N7" s="25" t="n"/>
      <c r="O7" s="25" t="n"/>
      <c r="P7" s="25" t="n"/>
      <c r="Q7" s="25" t="n"/>
      <c r="R7" s="25" t="n"/>
      <c r="S7" s="25" t="n"/>
      <c r="T7" s="25" t="n"/>
      <c r="U7" s="25" t="n"/>
      <c r="V7" s="25" t="n"/>
      <c r="W7" s="25" t="n"/>
      <c r="X7" s="25" t="n"/>
      <c r="Y7" s="25" t="n"/>
      <c r="Z7" s="25" t="n"/>
    </row>
    <row r="8">
      <c r="A8" s="29" t="inlineStr">
        <is>
          <t>AI / Computer Vision</t>
        </is>
      </c>
      <c r="B8" s="30" t="n">
        <v>308</v>
      </c>
      <c r="C8" s="30" t="n">
        <v>110</v>
      </c>
      <c r="D8" s="32">
        <f>B8-C8</f>
        <v/>
      </c>
      <c r="E8" s="25" t="n"/>
      <c r="F8" s="25" t="n"/>
      <c r="G8" s="25" t="n"/>
      <c r="H8" s="25" t="n"/>
      <c r="I8" s="25" t="n"/>
      <c r="J8" s="25" t="n"/>
      <c r="K8" s="25" t="n"/>
      <c r="L8" s="25" t="n"/>
      <c r="M8" s="25" t="n"/>
      <c r="N8" s="25" t="n"/>
      <c r="O8" s="25" t="n"/>
      <c r="P8" s="25" t="n"/>
      <c r="Q8" s="25" t="n"/>
      <c r="R8" s="25" t="n"/>
      <c r="S8" s="25" t="n"/>
      <c r="T8" s="25" t="n"/>
      <c r="U8" s="25" t="n"/>
      <c r="V8" s="25" t="n"/>
      <c r="W8" s="25" t="n"/>
      <c r="X8" s="25" t="n"/>
      <c r="Y8" s="25" t="n"/>
      <c r="Z8" s="25" t="n"/>
    </row>
    <row r="9">
      <c r="A9" s="29" t="inlineStr">
        <is>
          <t>Common (PM / QA / Deployment)</t>
        </is>
      </c>
      <c r="B9" s="30" t="n">
        <v>156</v>
      </c>
      <c r="C9" s="30" t="n">
        <v>156</v>
      </c>
      <c r="D9" s="32">
        <f>B9-C9</f>
        <v/>
      </c>
      <c r="E9" s="25" t="n"/>
      <c r="F9" s="25" t="n"/>
      <c r="G9" s="25" t="n"/>
      <c r="H9" s="25" t="n"/>
      <c r="I9" s="25" t="n"/>
      <c r="J9" s="25" t="n"/>
      <c r="K9" s="25" t="n"/>
      <c r="L9" s="25" t="n"/>
      <c r="M9" s="25" t="n"/>
      <c r="N9" s="25" t="n"/>
      <c r="O9" s="25" t="n"/>
      <c r="P9" s="25" t="n"/>
      <c r="Q9" s="25" t="n"/>
      <c r="R9" s="25" t="n"/>
      <c r="S9" s="25" t="n"/>
      <c r="T9" s="25" t="n"/>
      <c r="U9" s="25" t="n"/>
      <c r="V9" s="25" t="n"/>
      <c r="W9" s="25" t="n"/>
      <c r="X9" s="25" t="n"/>
      <c r="Y9" s="25" t="n"/>
      <c r="Z9" s="25" t="n"/>
    </row>
    <row r="10">
      <c r="A10" s="33" t="inlineStr">
        <is>
          <t>TOTAL</t>
        </is>
      </c>
      <c r="B10" s="34">
        <f>SUM(B5:B9)</f>
        <v/>
      </c>
      <c r="C10" s="34">
        <f>SUM(C5:C9)</f>
        <v/>
      </c>
      <c r="D10" s="35">
        <f>B10-C10</f>
        <v/>
      </c>
      <c r="E10" s="25"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c r="Z10" s="25" t="n"/>
    </row>
    <row r="11">
      <c r="A11" s="25" t="n"/>
      <c r="B11" s="25" t="n"/>
      <c r="C11" s="25" t="n"/>
      <c r="D11" s="25" t="n"/>
      <c r="E11" s="25"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c r="Z11" s="25" t="n"/>
    </row>
    <row r="12">
      <c r="A12" s="25" t="n"/>
      <c r="B12" s="25" t="n"/>
      <c r="C12" s="25" t="n"/>
      <c r="D12" s="25" t="n"/>
      <c r="E12" s="25"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c r="Z12" s="25" t="n"/>
    </row>
    <row r="13">
      <c r="A13" s="78" t="inlineStr">
        <is>
          <t>The API route saves time ONLY in AI (no model training / no image labeling). Backend, Frontend, Database and Common stay the same. Trade-off: the API adds a RECURRING per-image cost (see the pricing sheet) and sends cargo photos to a third party (data-privacy approval needed). Exact size &amp; weight still cannot be measured either way — that stays our logic. A common choice is HYBRID: API for a fast start / the tricky 5-10%, custom model later for the common 95%.</t>
        </is>
      </c>
      <c r="B13" s="79" t="n"/>
      <c r="C13" s="79" t="n"/>
      <c r="D13" s="79" t="n"/>
      <c r="E13" s="79" t="n"/>
      <c r="F13" s="80" t="n"/>
      <c r="G13" s="25" t="n"/>
      <c r="H13" s="25" t="n"/>
      <c r="I13" s="25" t="n"/>
      <c r="J13" s="25" t="n"/>
      <c r="K13" s="25" t="n"/>
      <c r="L13" s="25" t="n"/>
      <c r="M13" s="25" t="n"/>
      <c r="N13" s="25" t="n"/>
      <c r="O13" s="25" t="n"/>
      <c r="P13" s="25" t="n"/>
      <c r="Q13" s="25" t="n"/>
      <c r="R13" s="25" t="n"/>
      <c r="S13" s="25" t="n"/>
      <c r="T13" s="25" t="n"/>
      <c r="U13" s="25" t="n"/>
      <c r="V13" s="25" t="n"/>
      <c r="W13" s="25" t="n"/>
      <c r="X13" s="25" t="n"/>
      <c r="Y13" s="25" t="n"/>
      <c r="Z13" s="25" t="n"/>
    </row>
    <row r="14">
      <c r="A14" s="81" t="n"/>
      <c r="F14" s="82" t="n"/>
      <c r="G14" s="25" t="n"/>
      <c r="H14" s="25" t="n"/>
      <c r="I14" s="25" t="n"/>
      <c r="J14" s="25" t="n"/>
      <c r="K14" s="25" t="n"/>
      <c r="L14" s="25" t="n"/>
      <c r="M14" s="25" t="n"/>
      <c r="N14" s="25" t="n"/>
      <c r="O14" s="25" t="n"/>
      <c r="P14" s="25" t="n"/>
      <c r="Q14" s="25" t="n"/>
      <c r="R14" s="25" t="n"/>
      <c r="S14" s="25" t="n"/>
      <c r="T14" s="25" t="n"/>
      <c r="U14" s="25" t="n"/>
      <c r="V14" s="25" t="n"/>
      <c r="W14" s="25" t="n"/>
      <c r="X14" s="25" t="n"/>
      <c r="Y14" s="25" t="n"/>
      <c r="Z14" s="25" t="n"/>
    </row>
    <row r="15">
      <c r="A15" s="81" t="n"/>
      <c r="F15" s="82" t="n"/>
      <c r="G15" s="25" t="n"/>
      <c r="H15" s="25" t="n"/>
      <c r="I15" s="25" t="n"/>
      <c r="J15" s="25" t="n"/>
      <c r="K15" s="25" t="n"/>
      <c r="L15" s="25" t="n"/>
      <c r="M15" s="25" t="n"/>
      <c r="N15" s="25" t="n"/>
      <c r="O15" s="25" t="n"/>
      <c r="P15" s="25" t="n"/>
      <c r="Q15" s="25" t="n"/>
      <c r="R15" s="25" t="n"/>
      <c r="S15" s="25" t="n"/>
      <c r="T15" s="25" t="n"/>
      <c r="U15" s="25" t="n"/>
      <c r="V15" s="25" t="n"/>
      <c r="W15" s="25" t="n"/>
      <c r="X15" s="25" t="n"/>
      <c r="Y15" s="25" t="n"/>
      <c r="Z15" s="25" t="n"/>
    </row>
    <row r="16">
      <c r="A16" s="83" t="n"/>
      <c r="B16" s="84" t="n"/>
      <c r="C16" s="84" t="n"/>
      <c r="D16" s="84" t="n"/>
      <c r="E16" s="84" t="n"/>
      <c r="F16" s="8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row>
    <row r="17">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c r="Z17" s="25" t="n"/>
    </row>
    <row r="18">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row>
    <row r="19">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c r="Z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c r="Z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c r="Z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c r="Z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c r="Z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c r="Z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c r="Z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c r="Z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c r="Z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c r="Z31" s="25" t="n"/>
    </row>
    <row r="3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c r="Z32" s="25" t="n"/>
    </row>
    <row r="33">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c r="Z33" s="25" t="n"/>
    </row>
    <row r="34">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c r="Z34" s="25" t="n"/>
    </row>
    <row r="35">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row>
    <row r="36">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c r="Z36" s="25" t="n"/>
    </row>
    <row r="37">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c r="Z37" s="25" t="n"/>
    </row>
    <row r="38">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c r="Z38" s="25" t="n"/>
    </row>
    <row r="39">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c r="Z39" s="25" t="n"/>
    </row>
    <row r="40">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c r="Z40" s="25" t="n"/>
    </row>
    <row r="4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c r="Z41" s="25" t="n"/>
    </row>
    <row r="4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c r="Z42" s="25" t="n"/>
    </row>
    <row r="43">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c r="Z43" s="25" t="n"/>
    </row>
    <row r="44">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row>
    <row r="45">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row>
    <row r="46">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row>
    <row r="47">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row>
    <row r="48">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row>
    <row r="49">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c r="Z49" s="25" t="n"/>
    </row>
    <row r="50">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row>
    <row r="5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c r="Z51" s="25" t="n"/>
    </row>
    <row r="5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row>
    <row r="53">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row>
    <row r="54">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c r="Z54" s="25" t="n"/>
    </row>
    <row r="55">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c r="Z55" s="25" t="n"/>
    </row>
    <row r="56">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c r="Z56" s="25" t="n"/>
    </row>
    <row r="57">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row>
    <row r="58">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row>
    <row r="59">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row>
    <row r="60">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row>
    <row r="6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row>
    <row r="6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row>
    <row r="63">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row>
    <row r="64">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row>
    <row r="65">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row>
    <row r="66">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row>
    <row r="67">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row>
    <row r="68">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row>
    <row r="69">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c r="Z69" s="25" t="n"/>
    </row>
    <row r="70">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c r="Z70" s="25" t="n"/>
    </row>
    <row r="7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c r="Z71" s="25" t="n"/>
    </row>
    <row r="72">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c r="Z72" s="25" t="n"/>
    </row>
    <row r="73">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c r="Z73" s="25" t="n"/>
    </row>
    <row r="74">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c r="Z74" s="25" t="n"/>
    </row>
    <row r="75">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c r="Z75" s="25" t="n"/>
    </row>
    <row r="76">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row>
    <row r="77">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row>
    <row r="78">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row>
    <row r="79">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row>
    <row r="80">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row>
    <row r="8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row>
    <row r="82">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c r="Z82" s="25" t="n"/>
    </row>
    <row r="83">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row>
    <row r="84">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row>
    <row r="85">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row>
    <row r="86">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row>
    <row r="87">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c r="Z87" s="25" t="n"/>
    </row>
    <row r="88">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c r="Z88" s="25" t="n"/>
    </row>
    <row r="89">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c r="Z89" s="25" t="n"/>
    </row>
    <row r="90">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c r="Z90" s="25" t="n"/>
    </row>
    <row r="9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c r="Z91" s="25" t="n"/>
    </row>
    <row r="92">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c r="Z92" s="25" t="n"/>
    </row>
    <row r="93">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c r="Z93" s="25" t="n"/>
    </row>
    <row r="94">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c r="Z94" s="25" t="n"/>
    </row>
    <row r="95">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c r="Z95" s="25" t="n"/>
    </row>
    <row r="96">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c r="Z96" s="25" t="n"/>
    </row>
    <row r="97">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c r="Z97" s="25" t="n"/>
    </row>
    <row r="98">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c r="Z98" s="25" t="n"/>
    </row>
    <row r="99">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c r="Z99" s="25" t="n"/>
    </row>
    <row r="100">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c r="Z100" s="25" t="n"/>
    </row>
    <row r="10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c r="Z101" s="25" t="n"/>
    </row>
    <row r="102">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c r="Z102" s="25" t="n"/>
    </row>
    <row r="103">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c r="Z103" s="25" t="n"/>
    </row>
    <row r="104">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c r="Z104" s="25" t="n"/>
    </row>
    <row r="105">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c r="Z105" s="25" t="n"/>
    </row>
    <row r="106">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row>
    <row r="107">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c r="Z107" s="25" t="n"/>
    </row>
    <row r="108">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c r="Z108" s="25" t="n"/>
    </row>
    <row r="109">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c r="Z109" s="25" t="n"/>
    </row>
    <row r="110">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c r="Z110" s="25" t="n"/>
    </row>
    <row r="11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c r="Z111" s="25" t="n"/>
    </row>
    <row r="112">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c r="Z112" s="25" t="n"/>
    </row>
    <row r="113">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c r="Z113" s="25" t="n"/>
    </row>
    <row r="114">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c r="Z114" s="25" t="n"/>
    </row>
    <row r="115">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c r="Z115" s="25" t="n"/>
    </row>
    <row r="116">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c r="Z116" s="25" t="n"/>
    </row>
    <row r="117">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c r="Z117" s="25" t="n"/>
    </row>
    <row r="118">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c r="Z118" s="25" t="n"/>
    </row>
    <row r="119">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c r="Z119" s="25" t="n"/>
    </row>
    <row r="120">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c r="Z120" s="25" t="n"/>
    </row>
    <row r="12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c r="Z121" s="25" t="n"/>
    </row>
    <row r="122">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c r="Z122" s="25" t="n"/>
    </row>
    <row r="123">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c r="Z123" s="25" t="n"/>
    </row>
    <row r="124">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c r="Z124" s="25" t="n"/>
    </row>
    <row r="125">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c r="Z125" s="25" t="n"/>
    </row>
    <row r="126">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c r="Z126" s="25" t="n"/>
    </row>
    <row r="127">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c r="Z127" s="25" t="n"/>
    </row>
    <row r="128">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c r="Z128" s="25" t="n"/>
    </row>
    <row r="129">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c r="Z129" s="25" t="n"/>
    </row>
    <row r="130">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c r="Z130" s="25" t="n"/>
    </row>
    <row r="13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c r="Z131" s="25" t="n"/>
    </row>
    <row r="132">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row>
    <row r="133">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c r="Z133" s="25" t="n"/>
    </row>
    <row r="134">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c r="Z134" s="25" t="n"/>
    </row>
    <row r="135">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c r="Z135" s="25" t="n"/>
    </row>
    <row r="136">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row>
    <row r="137">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c r="Z137" s="25" t="n"/>
    </row>
    <row r="138">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c r="Z138" s="25" t="n"/>
    </row>
    <row r="139">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c r="Z139" s="25" t="n"/>
    </row>
    <row r="140">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c r="Z140" s="25" t="n"/>
    </row>
    <row r="14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c r="Z141" s="25" t="n"/>
    </row>
    <row r="142">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c r="Z142" s="25" t="n"/>
    </row>
    <row r="143">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c r="Z143" s="25" t="n"/>
    </row>
    <row r="144">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c r="Z144" s="25" t="n"/>
    </row>
    <row r="145">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c r="Z145" s="25" t="n"/>
    </row>
    <row r="146">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c r="Z146" s="25" t="n"/>
    </row>
    <row r="147">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c r="Z147" s="25" t="n"/>
    </row>
    <row r="148">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c r="Z148" s="25" t="n"/>
    </row>
    <row r="149">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c r="Z149" s="25" t="n"/>
    </row>
    <row r="150">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row>
    <row r="15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c r="Z151" s="25" t="n"/>
    </row>
    <row r="152">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row>
    <row r="153">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c r="Z153" s="25" t="n"/>
    </row>
    <row r="154">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row>
    <row r="155">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c r="Z155" s="25" t="n"/>
    </row>
    <row r="156">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row>
    <row r="157">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c r="Z157" s="25" t="n"/>
    </row>
    <row r="158">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row>
    <row r="159">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c r="Z159" s="25" t="n"/>
    </row>
    <row r="160">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row>
    <row r="16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c r="Z161" s="25" t="n"/>
    </row>
    <row r="162">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row>
    <row r="163">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c r="Z163" s="25" t="n"/>
    </row>
    <row r="164">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row>
    <row r="165">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c r="Z165" s="25" t="n"/>
    </row>
    <row r="166">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row>
    <row r="167">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c r="Z167" s="25" t="n"/>
    </row>
    <row r="168">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row>
    <row r="169">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c r="Z169" s="25" t="n"/>
    </row>
    <row r="170">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row>
    <row r="17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c r="Z171" s="25" t="n"/>
    </row>
    <row r="172">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row>
    <row r="173">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c r="Z173" s="25" t="n"/>
    </row>
    <row r="174">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row>
    <row r="175">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c r="Z175" s="25" t="n"/>
    </row>
    <row r="176">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row>
    <row r="177">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c r="Z177" s="25" t="n"/>
    </row>
    <row r="178">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row>
    <row r="179">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c r="Z179" s="25" t="n"/>
    </row>
    <row r="180">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row>
    <row r="18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c r="Z181" s="25" t="n"/>
    </row>
    <row r="182">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row>
    <row r="183">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c r="Z183" s="25" t="n"/>
    </row>
    <row r="184">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row>
    <row r="185">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c r="Z185" s="25" t="n"/>
    </row>
    <row r="186">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row>
    <row r="187">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c r="Z187" s="25" t="n"/>
    </row>
    <row r="188">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row>
    <row r="189">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c r="Z189" s="25" t="n"/>
    </row>
    <row r="190">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row>
    <row r="19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c r="Z191" s="25" t="n"/>
    </row>
    <row r="192">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row>
    <row r="193">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c r="Z193" s="25" t="n"/>
    </row>
    <row r="194">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row>
    <row r="195">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c r="Z195" s="25" t="n"/>
    </row>
    <row r="196">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row>
    <row r="197">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c r="Z197" s="25" t="n"/>
    </row>
    <row r="198">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row>
    <row r="199">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c r="Z199" s="25" t="n"/>
    </row>
    <row r="200">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row>
    <row r="20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c r="Z201" s="25" t="n"/>
    </row>
    <row r="202">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row>
    <row r="203">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c r="Z203" s="25" t="n"/>
    </row>
    <row r="204">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row>
    <row r="205">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c r="Z205" s="25" t="n"/>
    </row>
    <row r="206">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row>
    <row r="207">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c r="Z207" s="25" t="n"/>
    </row>
    <row r="208">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row>
    <row r="209">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c r="Z209" s="25" t="n"/>
    </row>
    <row r="210">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row>
    <row r="21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c r="Z211" s="25" t="n"/>
    </row>
    <row r="212">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row>
    <row r="213">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c r="Z213" s="25" t="n"/>
    </row>
    <row r="214">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row>
    <row r="215">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c r="Z215" s="25" t="n"/>
    </row>
    <row r="216">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row>
    <row r="217">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c r="Z217" s="25" t="n"/>
    </row>
    <row r="218">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row>
    <row r="219">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c r="Z219" s="25" t="n"/>
    </row>
    <row r="220">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row>
    <row r="22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c r="Z221" s="25" t="n"/>
    </row>
    <row r="222">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row>
    <row r="223">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c r="Z223" s="25" t="n"/>
    </row>
    <row r="224">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row>
    <row r="225">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c r="Z225" s="25" t="n"/>
    </row>
    <row r="226">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row>
    <row r="227">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c r="Z227" s="25" t="n"/>
    </row>
    <row r="228">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row>
    <row r="229">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c r="Z229" s="25" t="n"/>
    </row>
    <row r="230">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row>
    <row r="23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c r="Z231" s="25" t="n"/>
    </row>
    <row r="232">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row>
    <row r="233">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c r="Z233" s="25" t="n"/>
    </row>
    <row r="234">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row>
    <row r="235">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c r="Z235" s="25" t="n"/>
    </row>
    <row r="236">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row>
    <row r="237">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c r="Z237" s="25" t="n"/>
    </row>
    <row r="238">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row>
    <row r="239">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c r="Z239" s="25" t="n"/>
    </row>
    <row r="240">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row>
    <row r="24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c r="Z241" s="25" t="n"/>
    </row>
    <row r="242">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row>
    <row r="243">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c r="Z243" s="25" t="n"/>
    </row>
    <row r="244">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row>
    <row r="245">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c r="Z245" s="25" t="n"/>
    </row>
    <row r="246">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row>
    <row r="247">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c r="Z247" s="25" t="n"/>
    </row>
    <row r="248">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row>
    <row r="249">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c r="Z249" s="25" t="n"/>
    </row>
    <row r="250">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row>
    <row r="25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c r="Z251" s="25" t="n"/>
    </row>
    <row r="252">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row>
    <row r="253">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c r="Z253" s="25" t="n"/>
    </row>
    <row r="254">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row>
    <row r="255">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c r="Z255" s="25" t="n"/>
    </row>
    <row r="256">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row>
    <row r="257">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c r="Z257" s="25" t="n"/>
    </row>
    <row r="258">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row>
    <row r="259">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c r="Z259" s="25" t="n"/>
    </row>
    <row r="260">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row>
    <row r="26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c r="Z261" s="25" t="n"/>
    </row>
    <row r="262">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row>
    <row r="263">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c r="Z263" s="25" t="n"/>
    </row>
    <row r="264">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row>
    <row r="265">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c r="Z265" s="25" t="n"/>
    </row>
    <row r="266">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row>
    <row r="267">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c r="Z267" s="25" t="n"/>
    </row>
    <row r="268">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row>
    <row r="269">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c r="Z269" s="25" t="n"/>
    </row>
    <row r="270">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row>
    <row r="27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c r="Z271" s="25" t="n"/>
    </row>
    <row r="272">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row>
    <row r="273">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c r="Z273" s="25" t="n"/>
    </row>
    <row r="274">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row>
    <row r="275">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c r="Z275" s="25" t="n"/>
    </row>
    <row r="276">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row>
    <row r="277">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c r="Z277" s="25" t="n"/>
    </row>
    <row r="278">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row>
    <row r="279">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c r="Z279" s="25" t="n"/>
    </row>
    <row r="280">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row>
    <row r="28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c r="Z281" s="25" t="n"/>
    </row>
    <row r="282">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row>
    <row r="283">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c r="Z283" s="25" t="n"/>
    </row>
    <row r="284">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row>
    <row r="285">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c r="Z285" s="25" t="n"/>
    </row>
    <row r="286">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row>
    <row r="287">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c r="Z287" s="25" t="n"/>
    </row>
    <row r="288">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row>
    <row r="289">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c r="Z289" s="25" t="n"/>
    </row>
    <row r="290">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row>
    <row r="29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c r="Z291" s="25" t="n"/>
    </row>
    <row r="292">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row>
    <row r="293">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c r="Z293" s="25" t="n"/>
    </row>
    <row r="294">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row>
    <row r="295">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c r="Z295" s="25" t="n"/>
    </row>
    <row r="296">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row>
    <row r="297">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c r="Z297" s="25" t="n"/>
    </row>
    <row r="298">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row>
    <row r="299">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c r="Z299" s="25" t="n"/>
    </row>
    <row r="300">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row>
    <row r="30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c r="Z301" s="25" t="n"/>
    </row>
    <row r="302">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row>
    <row r="303">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c r="Z303" s="25" t="n"/>
    </row>
    <row r="304">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row>
    <row r="305">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c r="Z305" s="25" t="n"/>
    </row>
    <row r="306">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row>
    <row r="307">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c r="Z307" s="25" t="n"/>
    </row>
    <row r="308">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row>
    <row r="309">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c r="Z309" s="25" t="n"/>
    </row>
    <row r="310">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row>
    <row r="31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c r="Z311" s="25" t="n"/>
    </row>
    <row r="312">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row>
    <row r="313">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c r="Z313" s="25" t="n"/>
    </row>
    <row r="314">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row>
    <row r="315">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c r="Z315" s="25" t="n"/>
    </row>
    <row r="316">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row>
    <row r="317">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c r="Z317" s="25" t="n"/>
    </row>
    <row r="318">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row>
    <row r="319">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c r="Z319" s="25" t="n"/>
    </row>
    <row r="320">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row>
    <row r="32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c r="Z321" s="25" t="n"/>
    </row>
    <row r="322">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row>
    <row r="323">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c r="Z323" s="25" t="n"/>
    </row>
    <row r="324">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row>
    <row r="325">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c r="Z325" s="25" t="n"/>
    </row>
    <row r="326">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row>
    <row r="327">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c r="Z327" s="25" t="n"/>
    </row>
    <row r="328">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row>
    <row r="329">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c r="Z329" s="25" t="n"/>
    </row>
    <row r="330">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row>
    <row r="33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c r="Z331" s="25" t="n"/>
    </row>
    <row r="332">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row>
    <row r="333">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c r="Z333" s="25" t="n"/>
    </row>
    <row r="334">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row>
    <row r="335">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c r="Z335" s="25" t="n"/>
    </row>
    <row r="336">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row>
    <row r="337">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c r="Z337" s="25" t="n"/>
    </row>
    <row r="338">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row>
    <row r="339">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c r="Z339" s="25" t="n"/>
    </row>
    <row r="340">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row>
    <row r="34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c r="Z341" s="25" t="n"/>
    </row>
    <row r="342">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row>
    <row r="343">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c r="Z343" s="25" t="n"/>
    </row>
    <row r="344">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row>
    <row r="345">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c r="Z345" s="25" t="n"/>
    </row>
    <row r="346">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row>
    <row r="347">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c r="Z347" s="25" t="n"/>
    </row>
    <row r="348">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row>
    <row r="349">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c r="Z349" s="25" t="n"/>
    </row>
    <row r="350">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row>
    <row r="35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c r="Z351" s="25" t="n"/>
    </row>
    <row r="352">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row>
    <row r="353">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c r="Z353" s="25" t="n"/>
    </row>
    <row r="354">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row>
    <row r="355">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c r="Z355" s="25" t="n"/>
    </row>
    <row r="356">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row>
    <row r="357">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c r="Z357" s="25" t="n"/>
    </row>
    <row r="358">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row>
    <row r="359">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c r="Z359" s="25" t="n"/>
    </row>
    <row r="360">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row>
    <row r="36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c r="Z361" s="25" t="n"/>
    </row>
    <row r="362">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row>
    <row r="363">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c r="Z363" s="25" t="n"/>
    </row>
    <row r="364">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row>
    <row r="365">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c r="Z365" s="25" t="n"/>
    </row>
    <row r="366">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row>
    <row r="367">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c r="Z367" s="25" t="n"/>
    </row>
    <row r="368">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row>
    <row r="369">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c r="Z369" s="25" t="n"/>
    </row>
    <row r="370">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row>
    <row r="37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c r="Z371" s="25" t="n"/>
    </row>
    <row r="372">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row>
    <row r="373">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c r="Z373" s="25" t="n"/>
    </row>
    <row r="374">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row>
    <row r="375">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c r="Z375" s="25" t="n"/>
    </row>
    <row r="376">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row>
    <row r="377">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c r="Z377" s="25" t="n"/>
    </row>
    <row r="378">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row>
    <row r="379">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c r="Z379" s="25" t="n"/>
    </row>
    <row r="380">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row>
    <row r="38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c r="Z381" s="25" t="n"/>
    </row>
    <row r="382">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row>
    <row r="383">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c r="Z383" s="25" t="n"/>
    </row>
    <row r="384">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row>
    <row r="385">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c r="Z385" s="25" t="n"/>
    </row>
    <row r="386">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row>
    <row r="387">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c r="Z387" s="25" t="n"/>
    </row>
    <row r="388">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row>
    <row r="389">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c r="Z389" s="25" t="n"/>
    </row>
    <row r="390">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row>
    <row r="39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c r="Z391" s="25" t="n"/>
    </row>
    <row r="392">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row>
    <row r="393">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c r="Z393" s="25" t="n"/>
    </row>
    <row r="394">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row>
    <row r="395">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c r="Z395" s="25" t="n"/>
    </row>
    <row r="396">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row>
    <row r="397">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c r="Z397" s="25" t="n"/>
    </row>
    <row r="398">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row>
    <row r="399">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c r="Z399" s="25" t="n"/>
    </row>
    <row r="400">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row>
    <row r="40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c r="Z401" s="25" t="n"/>
    </row>
    <row r="402">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row>
    <row r="403">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c r="Z403" s="25" t="n"/>
    </row>
    <row r="404">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row>
    <row r="405">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c r="Z405" s="25" t="n"/>
    </row>
    <row r="406">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row>
    <row r="407">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c r="Z407" s="25" t="n"/>
    </row>
    <row r="408">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row>
    <row r="409">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c r="Z409" s="25" t="n"/>
    </row>
    <row r="410">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row>
    <row r="41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c r="Z411" s="25" t="n"/>
    </row>
    <row r="412">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row>
    <row r="413">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c r="Z413" s="25" t="n"/>
    </row>
    <row r="414">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row>
    <row r="415">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c r="Z415" s="25" t="n"/>
    </row>
    <row r="416">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row>
    <row r="417">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c r="Z417" s="25" t="n"/>
    </row>
    <row r="418">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row>
    <row r="419">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c r="Z419" s="25" t="n"/>
    </row>
    <row r="420">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row>
    <row r="42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c r="Z421" s="25" t="n"/>
    </row>
    <row r="422">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row>
    <row r="423">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c r="Z423" s="25" t="n"/>
    </row>
    <row r="424">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row>
    <row r="425">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c r="Z425" s="25" t="n"/>
    </row>
    <row r="426">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row>
    <row r="427">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c r="Z427" s="25" t="n"/>
    </row>
    <row r="428">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row>
    <row r="429">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c r="Z429" s="25" t="n"/>
    </row>
    <row r="430">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row>
    <row r="43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c r="Z431" s="25" t="n"/>
    </row>
    <row r="432">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row>
    <row r="433">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c r="Z433" s="25" t="n"/>
    </row>
    <row r="434">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row>
    <row r="435">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c r="Z435" s="25" t="n"/>
    </row>
    <row r="436">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row>
    <row r="437">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c r="Z437" s="25" t="n"/>
    </row>
    <row r="438">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row>
    <row r="439">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c r="Z439" s="25" t="n"/>
    </row>
    <row r="440">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row>
    <row r="44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c r="Z441" s="25" t="n"/>
    </row>
    <row r="442">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row>
    <row r="443">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c r="Z443" s="25" t="n"/>
    </row>
    <row r="444">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row>
    <row r="445">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c r="Z445" s="25" t="n"/>
    </row>
    <row r="446">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row>
    <row r="447">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c r="Z447" s="25" t="n"/>
    </row>
    <row r="448">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row>
    <row r="449">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c r="Z449" s="25" t="n"/>
    </row>
    <row r="450">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row>
    <row r="45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c r="Z451" s="25" t="n"/>
    </row>
    <row r="452">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row>
    <row r="453">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c r="Z453" s="25" t="n"/>
    </row>
    <row r="454">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row>
    <row r="455">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c r="Z455" s="25" t="n"/>
    </row>
    <row r="456">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row>
    <row r="457">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c r="Z457" s="25" t="n"/>
    </row>
    <row r="458">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row>
    <row r="459">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c r="Z459" s="25" t="n"/>
    </row>
    <row r="460">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row>
    <row r="46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c r="Z461" s="25" t="n"/>
    </row>
    <row r="462">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row>
    <row r="463">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c r="Z463" s="25" t="n"/>
    </row>
    <row r="464">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row>
    <row r="465">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c r="Z465" s="25" t="n"/>
    </row>
    <row r="466">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row>
    <row r="467">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c r="Z467" s="25" t="n"/>
    </row>
    <row r="468">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row>
    <row r="469">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c r="Z469" s="25" t="n"/>
    </row>
    <row r="470">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row>
    <row r="47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c r="Z471" s="25" t="n"/>
    </row>
    <row r="472">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row>
    <row r="473">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c r="Z473" s="25" t="n"/>
    </row>
    <row r="474">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row>
    <row r="475">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c r="Z475" s="25" t="n"/>
    </row>
    <row r="476">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row>
    <row r="477">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c r="Z477" s="25" t="n"/>
    </row>
    <row r="478">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row>
    <row r="479">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c r="Z479" s="25" t="n"/>
    </row>
    <row r="480">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row>
    <row r="48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c r="Z481" s="25" t="n"/>
    </row>
    <row r="482">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row>
    <row r="483">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c r="Z483" s="25" t="n"/>
    </row>
    <row r="484">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row>
    <row r="485">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c r="Z485" s="25" t="n"/>
    </row>
    <row r="486">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row>
    <row r="487">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c r="Z487" s="25" t="n"/>
    </row>
    <row r="488">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row>
    <row r="489">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c r="Z489" s="25" t="n"/>
    </row>
    <row r="490">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row>
    <row r="49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c r="Z491" s="25" t="n"/>
    </row>
    <row r="492">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row>
    <row r="493">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c r="Z493" s="25" t="n"/>
    </row>
    <row r="494">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row>
    <row r="495">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c r="Z495" s="25" t="n"/>
    </row>
    <row r="496">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row>
    <row r="497">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c r="Z497" s="25" t="n"/>
    </row>
    <row r="498">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row>
    <row r="499">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c r="Z499" s="25" t="n"/>
    </row>
    <row r="500">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row>
    <row r="50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c r="Z501" s="25" t="n"/>
    </row>
    <row r="502">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row>
    <row r="503">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c r="Z503" s="25" t="n"/>
    </row>
    <row r="504">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row>
    <row r="505">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c r="Z505" s="25" t="n"/>
    </row>
    <row r="506">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row>
    <row r="507">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c r="Z507" s="25" t="n"/>
    </row>
    <row r="508">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row>
    <row r="509">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c r="Z509" s="25" t="n"/>
    </row>
    <row r="510">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row>
    <row r="51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c r="Z511" s="25" t="n"/>
    </row>
    <row r="512">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row>
    <row r="513">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c r="Z513" s="25" t="n"/>
    </row>
    <row r="514">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row>
    <row r="515">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c r="Z515" s="25" t="n"/>
    </row>
    <row r="516">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row>
    <row r="517">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c r="Z517" s="25" t="n"/>
    </row>
    <row r="518">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row>
    <row r="519">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c r="Z519" s="25" t="n"/>
    </row>
    <row r="520">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row>
    <row r="52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c r="Z521" s="25" t="n"/>
    </row>
    <row r="522">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row>
    <row r="523">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c r="Z523" s="25" t="n"/>
    </row>
    <row r="524">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row>
    <row r="525">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c r="Z525" s="25" t="n"/>
    </row>
    <row r="526">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row>
    <row r="527">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c r="Z527" s="25" t="n"/>
    </row>
    <row r="528">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row>
    <row r="529">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c r="Z529" s="25" t="n"/>
    </row>
    <row r="530">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row>
    <row r="53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c r="Z531" s="25" t="n"/>
    </row>
    <row r="532">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row>
    <row r="533">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c r="Z533" s="25" t="n"/>
    </row>
    <row r="534">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row>
    <row r="535">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c r="Z535" s="25" t="n"/>
    </row>
    <row r="536">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row>
    <row r="537">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c r="Z537" s="25" t="n"/>
    </row>
    <row r="538">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row>
    <row r="539">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c r="Z539" s="25" t="n"/>
    </row>
    <row r="540">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row>
    <row r="54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c r="Z541" s="25" t="n"/>
    </row>
    <row r="542">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row>
    <row r="543">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c r="Z543" s="25" t="n"/>
    </row>
    <row r="544">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row>
    <row r="545">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c r="Z545" s="25" t="n"/>
    </row>
    <row r="546">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row>
    <row r="547">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c r="Z547" s="25" t="n"/>
    </row>
    <row r="548">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row>
    <row r="549">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c r="Z549" s="25" t="n"/>
    </row>
    <row r="550">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row>
    <row r="55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c r="Z551" s="25" t="n"/>
    </row>
    <row r="552">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row>
    <row r="553">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c r="Z553" s="25" t="n"/>
    </row>
    <row r="554">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row>
    <row r="555">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c r="Z555" s="25" t="n"/>
    </row>
    <row r="556">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row>
    <row r="557">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c r="Z557" s="25" t="n"/>
    </row>
    <row r="558">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row>
    <row r="559">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c r="Z559" s="25" t="n"/>
    </row>
    <row r="560">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row>
    <row r="56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c r="Z561" s="25" t="n"/>
    </row>
    <row r="562">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row>
    <row r="563">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c r="Z563" s="25" t="n"/>
    </row>
    <row r="564">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row>
    <row r="565">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c r="Z565" s="25" t="n"/>
    </row>
    <row r="566">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row>
    <row r="567">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c r="Z567" s="25" t="n"/>
    </row>
    <row r="568">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row>
    <row r="569">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c r="Z569" s="25" t="n"/>
    </row>
    <row r="570">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row>
    <row r="57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c r="Z571" s="25" t="n"/>
    </row>
    <row r="572">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row>
    <row r="573">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c r="Z573" s="25" t="n"/>
    </row>
    <row r="574">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row>
    <row r="575">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c r="Z575" s="25" t="n"/>
    </row>
    <row r="576">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row>
    <row r="577">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c r="Z577" s="25" t="n"/>
    </row>
    <row r="578">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row>
    <row r="579">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c r="Z579" s="25" t="n"/>
    </row>
    <row r="580">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row>
    <row r="58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c r="Z581" s="25" t="n"/>
    </row>
    <row r="582">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row>
    <row r="583">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c r="Z583" s="25" t="n"/>
    </row>
    <row r="584">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row>
    <row r="585">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c r="Z585" s="25" t="n"/>
    </row>
    <row r="586">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row>
    <row r="587">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c r="Z587" s="25" t="n"/>
    </row>
    <row r="588">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row>
    <row r="589">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c r="Z589" s="25" t="n"/>
    </row>
    <row r="590">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row>
    <row r="59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c r="Z591" s="25" t="n"/>
    </row>
    <row r="592">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row>
    <row r="593">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c r="Z593" s="25" t="n"/>
    </row>
    <row r="594">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row>
    <row r="595">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c r="Z595" s="25" t="n"/>
    </row>
    <row r="596">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row>
    <row r="597">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c r="Z597" s="25" t="n"/>
    </row>
    <row r="598">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row>
    <row r="599">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c r="Z599" s="25" t="n"/>
    </row>
    <row r="600">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row>
    <row r="60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c r="Z601" s="25" t="n"/>
    </row>
    <row r="602">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row>
    <row r="603">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c r="Z603" s="25" t="n"/>
    </row>
    <row r="604">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row>
    <row r="605">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c r="Z605" s="25" t="n"/>
    </row>
    <row r="606">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row>
    <row r="607">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c r="Z607" s="25" t="n"/>
    </row>
    <row r="608">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row>
    <row r="609">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c r="Z609" s="25" t="n"/>
    </row>
    <row r="610">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row>
    <row r="61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c r="Z611" s="25" t="n"/>
    </row>
    <row r="612">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row>
    <row r="613">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c r="Z613" s="25" t="n"/>
    </row>
    <row r="614">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row>
    <row r="615">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c r="Z615" s="25" t="n"/>
    </row>
    <row r="616">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row>
    <row r="617">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c r="Z617" s="25" t="n"/>
    </row>
    <row r="618">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row>
    <row r="619">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c r="Z619" s="25" t="n"/>
    </row>
    <row r="620">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row>
    <row r="62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c r="Z621" s="25" t="n"/>
    </row>
    <row r="622">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row>
    <row r="623">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c r="Z623" s="25" t="n"/>
    </row>
    <row r="624">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row>
    <row r="625">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c r="Z625" s="25" t="n"/>
    </row>
    <row r="626">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row>
    <row r="627">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c r="Z627" s="25" t="n"/>
    </row>
    <row r="628">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row>
    <row r="629">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c r="Z629" s="25" t="n"/>
    </row>
    <row r="630">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row>
    <row r="63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c r="Z631" s="25" t="n"/>
    </row>
    <row r="632">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row>
    <row r="633">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c r="Z633" s="25" t="n"/>
    </row>
    <row r="634">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row>
    <row r="635">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c r="Z635" s="25" t="n"/>
    </row>
    <row r="636">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row>
    <row r="637">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c r="Z637" s="25" t="n"/>
    </row>
    <row r="638">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row>
    <row r="639">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c r="Z639" s="25" t="n"/>
    </row>
    <row r="640">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row>
    <row r="64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c r="Z641" s="25" t="n"/>
    </row>
    <row r="642">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row>
    <row r="643">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c r="Z643" s="25" t="n"/>
    </row>
    <row r="644">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row>
    <row r="645">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c r="Z645" s="25" t="n"/>
    </row>
    <row r="646">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row>
    <row r="647">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c r="Z647" s="25" t="n"/>
    </row>
    <row r="648">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row>
    <row r="649">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c r="Z649" s="25" t="n"/>
    </row>
    <row r="650">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row>
    <row r="65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c r="Z651" s="25" t="n"/>
    </row>
    <row r="652">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row>
    <row r="653">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c r="Z653" s="25" t="n"/>
    </row>
    <row r="654">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row>
    <row r="655">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c r="Z655" s="25" t="n"/>
    </row>
    <row r="656">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row>
    <row r="657">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c r="Z657" s="25" t="n"/>
    </row>
    <row r="658">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row>
    <row r="659">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c r="Z659" s="25" t="n"/>
    </row>
    <row r="660">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row>
    <row r="66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c r="Z661" s="25" t="n"/>
    </row>
    <row r="662">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row>
    <row r="663">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c r="Z663" s="25" t="n"/>
    </row>
    <row r="664">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row>
    <row r="665">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c r="Z665" s="25" t="n"/>
    </row>
    <row r="666">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row>
    <row r="667">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c r="Z667" s="25" t="n"/>
    </row>
    <row r="668">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row>
    <row r="669">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c r="Z669" s="25" t="n"/>
    </row>
    <row r="670">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row>
    <row r="67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c r="Z671" s="25" t="n"/>
    </row>
    <row r="672">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row>
    <row r="673">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c r="Z673" s="25" t="n"/>
    </row>
    <row r="674">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row>
    <row r="675">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c r="Z675" s="25" t="n"/>
    </row>
    <row r="676">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row>
    <row r="677">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c r="Z677" s="25" t="n"/>
    </row>
    <row r="678">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row>
    <row r="679">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c r="Z679" s="25" t="n"/>
    </row>
    <row r="680">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row>
    <row r="68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c r="Z681" s="25" t="n"/>
    </row>
    <row r="682">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row>
    <row r="683">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c r="Z683" s="25" t="n"/>
    </row>
    <row r="684">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row>
    <row r="685">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c r="Z685" s="25" t="n"/>
    </row>
    <row r="686">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row>
    <row r="687">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c r="Z687" s="25" t="n"/>
    </row>
    <row r="688">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row>
    <row r="689">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c r="Z689" s="25" t="n"/>
    </row>
    <row r="690">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row>
    <row r="69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c r="Z691" s="25" t="n"/>
    </row>
    <row r="692">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row>
    <row r="693">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c r="Z693" s="25" t="n"/>
    </row>
    <row r="694">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row>
    <row r="695">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c r="Z695" s="25" t="n"/>
    </row>
    <row r="696">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row>
    <row r="697">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c r="Z697" s="25" t="n"/>
    </row>
    <row r="698">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row>
    <row r="699">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c r="Z699" s="25" t="n"/>
    </row>
    <row r="700">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row>
    <row r="70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c r="Z701" s="25" t="n"/>
    </row>
    <row r="702">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row>
    <row r="703">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c r="Z703" s="25" t="n"/>
    </row>
    <row r="704">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row>
    <row r="705">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c r="Z705" s="25" t="n"/>
    </row>
    <row r="706">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row>
    <row r="707">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c r="Z707" s="25" t="n"/>
    </row>
    <row r="708">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row>
    <row r="709">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c r="Z709" s="25" t="n"/>
    </row>
    <row r="710">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row>
    <row r="71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c r="Z711" s="25" t="n"/>
    </row>
    <row r="712">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row>
    <row r="713">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c r="Z713" s="25" t="n"/>
    </row>
    <row r="714">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row>
    <row r="715">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c r="Z715" s="25" t="n"/>
    </row>
    <row r="716">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row>
    <row r="717">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c r="Z717" s="25" t="n"/>
    </row>
    <row r="718">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row>
    <row r="719">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c r="Z719" s="25" t="n"/>
    </row>
    <row r="720">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row>
    <row r="72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c r="Z721" s="25" t="n"/>
    </row>
    <row r="722">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row>
    <row r="723">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c r="Z723" s="25" t="n"/>
    </row>
    <row r="724">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row>
    <row r="725">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c r="Z725" s="25" t="n"/>
    </row>
    <row r="726">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row>
    <row r="727">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c r="Z727" s="25" t="n"/>
    </row>
    <row r="728">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row>
    <row r="729">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c r="Z729" s="25" t="n"/>
    </row>
    <row r="730">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row>
    <row r="73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c r="Z731" s="25" t="n"/>
    </row>
    <row r="732">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row>
    <row r="733">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c r="Z733" s="25" t="n"/>
    </row>
    <row r="734">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row>
    <row r="735">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c r="Z735" s="25" t="n"/>
    </row>
    <row r="736">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row>
    <row r="737">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c r="Z737" s="25" t="n"/>
    </row>
    <row r="738">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row>
    <row r="739">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c r="Z739" s="25" t="n"/>
    </row>
    <row r="740">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row>
    <row r="74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c r="Z741" s="25" t="n"/>
    </row>
    <row r="742">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row>
    <row r="743">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c r="Z743" s="25" t="n"/>
    </row>
    <row r="744">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row>
    <row r="745">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c r="Z745" s="25" t="n"/>
    </row>
    <row r="746">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row>
    <row r="747">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c r="Z747" s="25" t="n"/>
    </row>
    <row r="748">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row>
    <row r="749">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c r="Z749" s="25" t="n"/>
    </row>
    <row r="750">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row>
    <row r="75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c r="Z751" s="25" t="n"/>
    </row>
    <row r="752">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row>
    <row r="753">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c r="Z753" s="25" t="n"/>
    </row>
    <row r="754">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row>
    <row r="755">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c r="Z755" s="25" t="n"/>
    </row>
    <row r="756">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row>
    <row r="757">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c r="Z757" s="25" t="n"/>
    </row>
    <row r="758">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row>
    <row r="759">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c r="Z759" s="25" t="n"/>
    </row>
    <row r="760">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row>
    <row r="76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c r="Z761" s="25" t="n"/>
    </row>
    <row r="762">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row>
    <row r="763">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c r="Z763" s="25" t="n"/>
    </row>
    <row r="764">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row>
    <row r="765">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c r="Z765" s="25" t="n"/>
    </row>
    <row r="766">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row>
    <row r="767">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c r="Z767" s="25" t="n"/>
    </row>
    <row r="768">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row>
    <row r="769">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c r="Z769" s="25" t="n"/>
    </row>
    <row r="770">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row>
    <row r="77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c r="Z771" s="25" t="n"/>
    </row>
    <row r="772">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row>
    <row r="773">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c r="Z773" s="25" t="n"/>
    </row>
    <row r="774">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row>
    <row r="775">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c r="Z775" s="25" t="n"/>
    </row>
    <row r="776">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row>
    <row r="777">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c r="Z777" s="25" t="n"/>
    </row>
    <row r="778">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row>
    <row r="779">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c r="Z779" s="25" t="n"/>
    </row>
    <row r="780">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row>
    <row r="78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c r="Z781" s="25" t="n"/>
    </row>
    <row r="782">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row>
    <row r="783">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c r="Z783" s="25" t="n"/>
    </row>
    <row r="784">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row>
    <row r="785">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c r="Z785" s="25" t="n"/>
    </row>
    <row r="786">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row>
    <row r="787">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c r="Z787" s="25" t="n"/>
    </row>
    <row r="788">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row>
    <row r="789">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c r="Z789" s="25" t="n"/>
    </row>
    <row r="790">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row>
    <row r="79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c r="Z791" s="25" t="n"/>
    </row>
    <row r="792">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row>
    <row r="793">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c r="Z793" s="25" t="n"/>
    </row>
    <row r="794">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row>
    <row r="795">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c r="Z795" s="25" t="n"/>
    </row>
    <row r="796">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row>
    <row r="797">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c r="Z797" s="25" t="n"/>
    </row>
    <row r="798">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row>
    <row r="799">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c r="Z799" s="25" t="n"/>
    </row>
    <row r="800">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row>
    <row r="80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c r="Z801" s="25" t="n"/>
    </row>
    <row r="802">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row>
    <row r="803">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c r="Z803" s="25" t="n"/>
    </row>
    <row r="804">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row>
    <row r="805">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c r="Z805" s="25" t="n"/>
    </row>
    <row r="806">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row>
    <row r="807">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c r="Z807" s="25" t="n"/>
    </row>
    <row r="808">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row>
    <row r="809">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c r="Z809" s="25" t="n"/>
    </row>
    <row r="810">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row>
    <row r="81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c r="Z811" s="25" t="n"/>
    </row>
    <row r="812">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row>
    <row r="813">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c r="Z813" s="25" t="n"/>
    </row>
    <row r="814">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row>
    <row r="815">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c r="Z815" s="25" t="n"/>
    </row>
    <row r="816">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row>
    <row r="817">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c r="Z817" s="25" t="n"/>
    </row>
    <row r="818">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row>
    <row r="819">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c r="Z819" s="25" t="n"/>
    </row>
    <row r="820">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row>
    <row r="82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c r="Z821" s="25" t="n"/>
    </row>
    <row r="822">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row>
    <row r="823">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c r="Z823" s="25" t="n"/>
    </row>
    <row r="824">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row>
    <row r="825">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c r="Z825" s="25" t="n"/>
    </row>
    <row r="826">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row>
    <row r="827">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c r="Z827" s="25" t="n"/>
    </row>
    <row r="828">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row>
    <row r="829">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c r="Z829" s="25" t="n"/>
    </row>
    <row r="830">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row>
    <row r="83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c r="Z831" s="25" t="n"/>
    </row>
    <row r="832">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row>
    <row r="833">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c r="Z833" s="25" t="n"/>
    </row>
    <row r="834">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row>
    <row r="835">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c r="Z835" s="25" t="n"/>
    </row>
    <row r="836">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row>
    <row r="837">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c r="Z837" s="25" t="n"/>
    </row>
    <row r="838">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row>
    <row r="839">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c r="Z839" s="25" t="n"/>
    </row>
    <row r="840">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row>
    <row r="84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c r="Z841" s="25" t="n"/>
    </row>
    <row r="842">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row>
    <row r="843">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c r="Z843" s="25" t="n"/>
    </row>
    <row r="844">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row>
    <row r="845">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c r="Z845" s="25" t="n"/>
    </row>
    <row r="846">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row>
    <row r="847">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c r="Z847" s="25" t="n"/>
    </row>
    <row r="848">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row>
    <row r="849">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c r="Z849" s="25" t="n"/>
    </row>
    <row r="850">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row>
    <row r="85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c r="Z851" s="25" t="n"/>
    </row>
    <row r="852">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row>
    <row r="853">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c r="Z853" s="25" t="n"/>
    </row>
    <row r="854">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row>
    <row r="855">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c r="Z855" s="25" t="n"/>
    </row>
    <row r="856">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row>
    <row r="857">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c r="Z857" s="25" t="n"/>
    </row>
    <row r="858">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row>
    <row r="859">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c r="Z859" s="25" t="n"/>
    </row>
    <row r="860">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row>
    <row r="86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c r="Z861" s="25" t="n"/>
    </row>
    <row r="862">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row>
    <row r="863">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c r="Z863" s="25" t="n"/>
    </row>
    <row r="864">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row>
    <row r="865">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c r="Z865" s="25" t="n"/>
    </row>
    <row r="866">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row>
    <row r="867">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c r="Z867" s="25" t="n"/>
    </row>
    <row r="868">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row>
    <row r="869">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c r="Z869" s="25" t="n"/>
    </row>
    <row r="870">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row>
    <row r="87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c r="Z871" s="25" t="n"/>
    </row>
    <row r="872">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row>
    <row r="873">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c r="Z873" s="25" t="n"/>
    </row>
    <row r="874">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row>
    <row r="875">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c r="Z875" s="25" t="n"/>
    </row>
    <row r="876">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row>
    <row r="877">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c r="Z877" s="25" t="n"/>
    </row>
    <row r="878">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row>
    <row r="879">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c r="Z879" s="25" t="n"/>
    </row>
    <row r="880">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row>
    <row r="88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c r="Z881" s="25" t="n"/>
    </row>
    <row r="882">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row>
    <row r="883">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c r="Z883" s="25" t="n"/>
    </row>
    <row r="884">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row>
    <row r="885">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c r="Z885" s="25" t="n"/>
    </row>
    <row r="886">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row>
    <row r="887">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c r="Z887" s="25" t="n"/>
    </row>
    <row r="888">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row>
    <row r="889">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c r="Z889" s="25" t="n"/>
    </row>
    <row r="890">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row>
    <row r="89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c r="Z891" s="25" t="n"/>
    </row>
    <row r="892">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row>
    <row r="893">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c r="Z893" s="25" t="n"/>
    </row>
    <row r="894">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row>
    <row r="895">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c r="Z895" s="25" t="n"/>
    </row>
    <row r="896">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row>
    <row r="897">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c r="Z897" s="25" t="n"/>
    </row>
    <row r="898">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row>
    <row r="899">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c r="Z899" s="25" t="n"/>
    </row>
    <row r="900">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row>
    <row r="90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c r="Z901" s="25" t="n"/>
    </row>
    <row r="902">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row>
    <row r="903">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c r="Z903" s="25" t="n"/>
    </row>
    <row r="904">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row>
    <row r="905">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c r="Z905" s="25" t="n"/>
    </row>
    <row r="906">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row>
    <row r="907">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c r="Z907" s="25" t="n"/>
    </row>
    <row r="908">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row>
    <row r="909">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c r="Z909" s="25" t="n"/>
    </row>
    <row r="910">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row>
    <row r="91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c r="Z911" s="25" t="n"/>
    </row>
    <row r="912">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row>
    <row r="913">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c r="Z913" s="25" t="n"/>
    </row>
    <row r="914">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row>
    <row r="915">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c r="Z915" s="25" t="n"/>
    </row>
    <row r="916">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row>
    <row r="917">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c r="Z917" s="25" t="n"/>
    </row>
    <row r="918">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row>
    <row r="919">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c r="Z919" s="25" t="n"/>
    </row>
    <row r="920">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row>
    <row r="92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c r="Z921" s="25" t="n"/>
    </row>
    <row r="922">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row>
    <row r="923">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c r="Z923" s="25" t="n"/>
    </row>
    <row r="924">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row>
    <row r="925">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c r="Z925" s="25" t="n"/>
    </row>
    <row r="926">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row>
    <row r="927">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c r="Z927" s="25" t="n"/>
    </row>
    <row r="928">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row>
    <row r="929">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c r="Z929" s="25" t="n"/>
    </row>
    <row r="930">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row>
    <row r="93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c r="Z931" s="25" t="n"/>
    </row>
    <row r="932">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row>
    <row r="933">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c r="Z933" s="25" t="n"/>
    </row>
    <row r="934">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row>
    <row r="935">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row>
    <row r="936">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row>
    <row r="937">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row>
    <row r="938">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row>
    <row r="939">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row>
    <row r="940">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row>
    <row r="94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row>
    <row r="942">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row>
    <row r="943">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row>
    <row r="944">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row>
    <row r="945">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row>
    <row r="946">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row>
    <row r="947">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row>
    <row r="948">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row>
    <row r="949">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row>
    <row r="950">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row>
    <row r="95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row>
    <row r="952">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row>
    <row r="953">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row>
    <row r="954">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row>
    <row r="955">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row>
    <row r="956">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row>
    <row r="957">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row>
    <row r="958">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row>
    <row r="959">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row>
    <row r="960">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row>
    <row r="96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row>
    <row r="962">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row>
    <row r="963">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row>
    <row r="964">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row>
    <row r="965">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row>
    <row r="966">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row>
    <row r="967">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row>
    <row r="968">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row>
    <row r="969">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row>
    <row r="970">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row>
    <row r="97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row>
    <row r="972">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row>
    <row r="973">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row>
    <row r="974">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row>
    <row r="975">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row>
    <row r="976">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row>
    <row r="977">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row>
    <row r="978">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row>
    <row r="979">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row>
    <row r="980">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row>
    <row r="98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row>
    <row r="982">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row>
    <row r="983">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row>
    <row r="984">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row>
    <row r="985">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row>
    <row r="986">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row>
    <row r="987">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row>
    <row r="988">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row>
    <row r="989">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row>
    <row r="990">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row>
    <row r="991">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row>
    <row r="992">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row>
    <row r="993">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row>
    <row r="994">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row>
    <row r="995">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row>
    <row r="996">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row>
    <row r="997">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row>
    <row r="998">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row>
    <row r="999">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row>
  </sheetData>
  <mergeCells count="3">
    <mergeCell ref="A13:F16"/>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7"/>
  <sheetViews>
    <sheetView workbookViewId="0">
      <selection activeCell="A1" sqref="A1"/>
    </sheetView>
  </sheetViews>
  <sheetFormatPr baseColWidth="8" defaultColWidth="14.43" defaultRowHeight="15" customHeight="1"/>
  <cols>
    <col width="17" customWidth="1" style="74" min="1" max="1"/>
    <col width="32" customWidth="1" style="74" min="2" max="2"/>
    <col width="27.57" customWidth="1" style="74" min="3" max="3"/>
    <col width="27.43" customWidth="1" style="74" min="4" max="4"/>
    <col width="26.14" customWidth="1" style="74" min="5" max="5"/>
    <col width="34" customWidth="1" style="74" min="6" max="6"/>
    <col width="8.710000000000001" customWidth="1" style="74" min="7" max="9"/>
  </cols>
  <sheetData>
    <row r="1" ht="17.25" customHeight="1" s="74">
      <c r="A1" s="44" t="inlineStr">
        <is>
          <t xml:space="preserve"> Third Party AI API — Indicative Pricing </t>
        </is>
      </c>
    </row>
    <row r="2" ht="27.75" customHeight="1" s="74">
      <c r="A2" s="45" t="inlineStr">
        <is>
          <t>As of September 2026. Prices are INDICATIVE and WILL VARY (model, image size, volume, provider changes, USD-INR)</t>
        </is>
      </c>
    </row>
    <row r="3">
      <c r="A3" s="46" t="n"/>
      <c r="B3" s="46" t="n"/>
      <c r="C3" s="46" t="n"/>
      <c r="D3" s="46" t="n"/>
      <c r="E3" s="46" t="n"/>
      <c r="F3" s="47" t="n"/>
    </row>
    <row r="4">
      <c r="A4" s="86" t="inlineStr">
        <is>
          <t>API Pricing (per 1M tokens &amp; per image)</t>
        </is>
      </c>
      <c r="B4" s="76" t="n"/>
      <c r="C4" s="76" t="n"/>
      <c r="D4" s="76" t="n"/>
      <c r="E4" s="76" t="n"/>
      <c r="F4" s="77" t="n"/>
    </row>
    <row r="5" ht="30" customHeight="1" s="74">
      <c r="A5" s="49" t="inlineStr">
        <is>
          <t>Provider</t>
        </is>
      </c>
      <c r="B5" s="49" t="inlineStr">
        <is>
          <t>Model</t>
        </is>
      </c>
      <c r="C5" s="49" t="inlineStr">
        <is>
          <t>Input ($ / 1M tokens)</t>
        </is>
      </c>
      <c r="D5" s="49" t="inlineStr">
        <is>
          <t>Output ($ / 1M tokens)</t>
        </is>
      </c>
      <c r="E5" s="49" t="inlineStr">
        <is>
          <t>Approx. per image (USD)*</t>
        </is>
      </c>
      <c r="F5" s="50" t="inlineStr">
        <is>
          <t>Notes</t>
        </is>
      </c>
    </row>
    <row r="6">
      <c r="A6" s="51" t="inlineStr">
        <is>
          <t>OpenAI</t>
        </is>
      </c>
      <c r="B6" s="52" t="inlineStr">
        <is>
          <t>GPT-5 nano</t>
        </is>
      </c>
      <c r="C6" s="53" t="n">
        <v>0.05</v>
      </c>
      <c r="D6" s="53" t="n">
        <v>0.4</v>
      </c>
      <c r="E6" s="54" t="n">
        <v>0.0003</v>
      </c>
      <c r="F6" s="55" t="inlineStr">
        <is>
          <t>Cheapest OpenAI vision model</t>
        </is>
      </c>
    </row>
    <row r="7">
      <c r="A7" s="56" t="inlineStr">
        <is>
          <t>OpenAI</t>
        </is>
      </c>
      <c r="B7" s="57" t="inlineStr">
        <is>
          <t>GPT-4o mini</t>
        </is>
      </c>
      <c r="C7" s="58" t="n">
        <v>0.15</v>
      </c>
      <c r="D7" s="58" t="n">
        <v>0.6</v>
      </c>
      <c r="E7" s="54" t="n">
        <v>0.0005999999999999999</v>
      </c>
      <c r="F7" s="59" t="inlineStr">
        <is>
          <t>Low-cost, widely used</t>
        </is>
      </c>
    </row>
    <row r="8">
      <c r="A8" s="51" t="inlineStr">
        <is>
          <t>Anthropic</t>
        </is>
      </c>
      <c r="B8" s="52" t="inlineStr">
        <is>
          <t>Claude Haiku 4.5</t>
        </is>
      </c>
      <c r="C8" s="53" t="n">
        <v>1</v>
      </c>
      <c r="D8" s="53" t="n">
        <v>5</v>
      </c>
      <c r="E8" s="54" t="n">
        <v>0.005</v>
      </c>
      <c r="F8" s="55" t="inlineStr">
        <is>
          <t>Fast, low-cost Claude</t>
        </is>
      </c>
      <c r="I8" s="46" t="n"/>
    </row>
    <row r="9">
      <c r="A9" s="56" t="inlineStr">
        <is>
          <t>Anthropic</t>
        </is>
      </c>
      <c r="B9" s="57" t="inlineStr">
        <is>
          <t>Claude Sonnet 5</t>
        </is>
      </c>
      <c r="C9" s="58" t="n">
        <v>2</v>
      </c>
      <c r="D9" s="58" t="n">
        <v>10</v>
      </c>
      <c r="E9" s="54" t="n">
        <v>0.008999999999999999</v>
      </c>
      <c r="F9" s="59" t="inlineStr">
        <is>
          <t>Higher accuracy</t>
        </is>
      </c>
    </row>
    <row r="10">
      <c r="A10" s="51" t="inlineStr">
        <is>
          <t>Google</t>
        </is>
      </c>
      <c r="B10" s="52" t="inlineStr">
        <is>
          <t>Gemini 2.5 Flash-Lite</t>
        </is>
      </c>
      <c r="C10" s="53" t="n">
        <v>0.1</v>
      </c>
      <c r="D10" s="53" t="n">
        <v>0.4</v>
      </c>
      <c r="E10" s="54" t="n">
        <v>0.0004</v>
      </c>
      <c r="F10" s="55" t="inlineStr">
        <is>
          <t>Cheapest Google option</t>
        </is>
      </c>
    </row>
    <row r="11">
      <c r="A11" s="56" t="inlineStr">
        <is>
          <t>Google</t>
        </is>
      </c>
      <c r="B11" s="57" t="inlineStr">
        <is>
          <t>Gemini 3.6 Flash</t>
        </is>
      </c>
      <c r="C11" s="58" t="n">
        <v>1.5</v>
      </c>
      <c r="D11" s="58" t="n">
        <v>7.5</v>
      </c>
      <c r="E11" s="54" t="n">
        <v>0.007</v>
      </c>
      <c r="F11" s="59" t="inlineStr">
        <is>
          <t>Balanced price / performance</t>
        </is>
      </c>
    </row>
    <row r="12">
      <c r="A12" s="51" t="inlineStr">
        <is>
          <t>Google</t>
        </is>
      </c>
      <c r="B12" s="52" t="inlineStr">
        <is>
          <t>Cloud Vision API</t>
        </is>
      </c>
      <c r="C12" s="60" t="inlineStr">
        <is>
          <t>—</t>
        </is>
      </c>
      <c r="D12" s="60" t="inlineStr">
        <is>
          <t>—</t>
        </is>
      </c>
      <c r="E12" s="54" t="n">
        <v>0.0038</v>
      </c>
      <c r="F12" s="55" t="inlineStr">
        <is>
          <t>Per-image service (not token-based); ~$1.5-4 / 1,000 images</t>
        </is>
      </c>
    </row>
    <row r="13" ht="15" customHeight="1" s="74">
      <c r="A13" s="61" t="inlineStr">
        <is>
          <t>* Per-image estimate assumes ~2,000 input + ~500 output tokens; varies with image size and prompt length.</t>
        </is>
      </c>
    </row>
    <row r="14">
      <c r="A14" s="46" t="n"/>
      <c r="B14" s="46" t="n"/>
      <c r="C14" s="46" t="n"/>
      <c r="D14" s="46" t="n"/>
      <c r="E14" s="46" t="n"/>
      <c r="F14" s="47" t="n"/>
    </row>
    <row r="15">
      <c r="A15" s="86" t="inlineStr">
        <is>
          <t xml:space="preserve"> Monthly Cost Estimate </t>
        </is>
      </c>
      <c r="B15" s="76" t="n"/>
      <c r="C15" s="76" t="n"/>
      <c r="D15" s="76" t="n"/>
      <c r="E15" s="76" t="n"/>
      <c r="F15" s="77" t="n"/>
    </row>
    <row r="16">
      <c r="A16" s="62" t="inlineStr">
        <is>
          <t>Images per day:</t>
        </is>
      </c>
      <c r="B16" s="63" t="n">
        <v>200</v>
      </c>
      <c r="C16" s="62" t="inlineStr">
        <is>
          <t>USD → INR rate:</t>
        </is>
      </c>
      <c r="D16" s="63" t="n">
        <v>88</v>
      </c>
      <c r="E16" s="64" t="inlineStr">
        <is>
          <t>(≈30 days/month)</t>
        </is>
      </c>
      <c r="F16" s="47" t="n"/>
    </row>
    <row r="17" ht="30" customHeight="1" s="74">
      <c r="A17" s="49" t="inlineStr">
        <is>
          <t>Provider</t>
        </is>
      </c>
      <c r="B17" s="49" t="inlineStr">
        <is>
          <t>Model</t>
        </is>
      </c>
      <c r="C17" s="49" t="inlineStr">
        <is>
          <t>Approx. per image (USD)</t>
        </is>
      </c>
      <c r="D17" s="49" t="inlineStr">
        <is>
          <t>Monthly cost (USD)</t>
        </is>
      </c>
      <c r="E17" s="49" t="n"/>
      <c r="F17" s="65" t="n"/>
    </row>
    <row r="18">
      <c r="A18" s="51" t="inlineStr">
        <is>
          <t>OpenAI</t>
        </is>
      </c>
      <c r="B18" s="52" t="inlineStr">
        <is>
          <t>GPT-5 nano</t>
        </is>
      </c>
      <c r="C18" s="66">
        <f>E6</f>
        <v/>
      </c>
      <c r="D18" s="53">
        <f>C18*$B$16*30</f>
        <v/>
      </c>
      <c r="E18" s="67" t="n"/>
      <c r="F18" s="68" t="n"/>
    </row>
    <row r="19">
      <c r="A19" s="56" t="inlineStr">
        <is>
          <t>OpenAI</t>
        </is>
      </c>
      <c r="B19" s="57" t="inlineStr">
        <is>
          <t>GPT-4o mini</t>
        </is>
      </c>
      <c r="C19" s="69">
        <f>E7</f>
        <v/>
      </c>
      <c r="D19" s="58">
        <f>C19*$B$16*30</f>
        <v/>
      </c>
      <c r="F19" s="70" t="n"/>
    </row>
    <row r="20">
      <c r="A20" s="51" t="inlineStr">
        <is>
          <t>Anthropic</t>
        </is>
      </c>
      <c r="B20" s="52" t="inlineStr">
        <is>
          <t>Claude Haiku 4.5</t>
        </is>
      </c>
      <c r="C20" s="66">
        <f>E8</f>
        <v/>
      </c>
      <c r="D20" s="53">
        <f>C20*$B$16*30</f>
        <v/>
      </c>
      <c r="E20" s="71" t="n"/>
      <c r="F20" s="68" t="n"/>
    </row>
    <row r="21" ht="15.75" customHeight="1" s="74">
      <c r="A21" s="56" t="inlineStr">
        <is>
          <t>Anthropic</t>
        </is>
      </c>
      <c r="B21" s="57" t="inlineStr">
        <is>
          <t>Claude Sonnet 5</t>
        </is>
      </c>
      <c r="C21" s="69">
        <f>E9</f>
        <v/>
      </c>
      <c r="D21" s="58">
        <f>C21*$B$16*30</f>
        <v/>
      </c>
      <c r="E21" s="71" t="n"/>
      <c r="F21" s="70" t="n"/>
    </row>
    <row r="22" ht="15.75" customHeight="1" s="74">
      <c r="A22" s="51" t="inlineStr">
        <is>
          <t>Google</t>
        </is>
      </c>
      <c r="B22" s="52" t="inlineStr">
        <is>
          <t>Gemini 2.5 Flash-Lite</t>
        </is>
      </c>
      <c r="C22" s="66">
        <f>E10</f>
        <v/>
      </c>
      <c r="D22" s="53">
        <f>C22*$B$16*30</f>
        <v/>
      </c>
      <c r="E22" s="67" t="n"/>
      <c r="F22" s="68" t="n"/>
    </row>
    <row r="23" ht="15.75" customHeight="1" s="74">
      <c r="A23" s="56" t="inlineStr">
        <is>
          <t>Google</t>
        </is>
      </c>
      <c r="B23" s="57" t="inlineStr">
        <is>
          <t>Gemini 3.6 Flash</t>
        </is>
      </c>
      <c r="C23" s="69">
        <f>E11</f>
        <v/>
      </c>
      <c r="D23" s="58">
        <f>C23*$B$16*30</f>
        <v/>
      </c>
      <c r="E23" s="71" t="n"/>
      <c r="F23" s="70" t="n"/>
    </row>
    <row r="24" ht="15.75" customHeight="1" s="74">
      <c r="A24" s="51" t="inlineStr">
        <is>
          <t>Google</t>
        </is>
      </c>
      <c r="B24" s="52" t="inlineStr">
        <is>
          <t>Cloud Vision API</t>
        </is>
      </c>
      <c r="C24" s="66">
        <f>E12</f>
        <v/>
      </c>
      <c r="D24" s="53">
        <f>C24*$B$16*30</f>
        <v/>
      </c>
      <c r="E24" s="67" t="n"/>
      <c r="F24" s="68" t="n"/>
    </row>
    <row r="25" ht="25.5" customHeight="1" s="74">
      <c r="A25" s="61" t="inlineStr">
        <is>
          <t>Monthly = per-image cost × images/day × 30. Hybrid tip: if only the tricky 5-10% go to the API, images/day is small, so monthly cost is very low.</t>
        </is>
      </c>
    </row>
    <row r="26" ht="15.75" customHeight="1" s="74">
      <c r="A26" s="46" t="n"/>
      <c r="B26" s="46" t="n"/>
      <c r="C26" s="46" t="n"/>
      <c r="D26" s="46" t="n"/>
      <c r="E26" s="46" t="n"/>
      <c r="F26" s="47" t="n"/>
    </row>
    <row r="27" ht="15" customHeight="1" s="74">
      <c r="A27" s="87" t="inlineStr">
        <is>
          <t>IMPORTANT — prices are NOT fixed. They vary with: the model chosen (cheapest to premium differ ~30x), image resolution (bigger image = more tokens = more cost), prompt/output length, monthly volume (discount tiers, batch &amp; caching), provider price changes over time, and the USD-INR exchange rate. Figures here are indicative, as of September 2026, and only apply if the third-party API route is used. Confirm live pricing on each provider's website before quoting.</t>
        </is>
      </c>
      <c r="B27" s="79" t="n"/>
      <c r="C27" s="79" t="n"/>
      <c r="D27" s="79" t="n"/>
      <c r="E27" s="79" t="n"/>
      <c r="F27" s="80" t="n"/>
    </row>
    <row r="28" ht="15.75" customHeight="1" s="74">
      <c r="A28" s="81" t="n"/>
      <c r="F28" s="82" t="n"/>
    </row>
    <row r="29" ht="15.75" customHeight="1" s="74">
      <c r="A29" s="83" t="n"/>
      <c r="B29" s="84" t="n"/>
      <c r="C29" s="84" t="n"/>
      <c r="D29" s="84" t="n"/>
      <c r="E29" s="84" t="n"/>
      <c r="F29" s="85" t="n"/>
    </row>
    <row r="30" ht="15.75" customHeight="1" s="74">
      <c r="A30" s="46" t="n"/>
      <c r="B30" s="46" t="n"/>
      <c r="C30" s="46" t="n"/>
      <c r="D30" s="46" t="n"/>
      <c r="E30" s="46" t="n"/>
      <c r="F30" s="47" t="n"/>
    </row>
    <row r="31" ht="15.75" customHeight="1" s="74">
      <c r="A31" s="73" t="n"/>
    </row>
    <row r="32" ht="15.75" customHeight="1" s="74">
      <c r="A32" s="46" t="n"/>
      <c r="B32" s="46" t="n"/>
      <c r="C32" s="46" t="n"/>
      <c r="D32" s="46" t="n"/>
      <c r="E32" s="46" t="n"/>
      <c r="F32" s="47" t="n"/>
    </row>
    <row r="33" ht="15.75" customHeight="1" s="74">
      <c r="A33" s="46" t="n"/>
      <c r="B33" s="46" t="n"/>
      <c r="C33" s="46" t="n"/>
      <c r="D33" s="46" t="n"/>
      <c r="E33" s="46" t="n"/>
      <c r="F33" s="47" t="n"/>
    </row>
    <row r="34" ht="15.75" customHeight="1" s="74">
      <c r="A34" s="46" t="n"/>
      <c r="B34" s="46" t="n"/>
      <c r="C34" s="46" t="n"/>
      <c r="D34" s="46" t="n"/>
      <c r="E34" s="46" t="n"/>
      <c r="F34" s="47" t="n"/>
    </row>
    <row r="35" ht="15.75" customHeight="1" s="74">
      <c r="A35" s="46" t="n"/>
      <c r="B35" s="46" t="n"/>
      <c r="C35" s="46" t="n"/>
      <c r="D35" s="46" t="n"/>
      <c r="E35" s="46" t="n"/>
      <c r="F35" s="47" t="n"/>
    </row>
    <row r="36" ht="15.75" customHeight="1" s="74">
      <c r="A36" s="46" t="n"/>
      <c r="B36" s="46" t="n"/>
      <c r="C36" s="46" t="n"/>
      <c r="D36" s="46" t="n"/>
      <c r="E36" s="46" t="n"/>
      <c r="F36" s="47" t="n"/>
    </row>
    <row r="37" ht="15.75" customHeight="1" s="74">
      <c r="A37" s="46" t="n"/>
      <c r="B37" s="46" t="n"/>
      <c r="C37" s="46" t="n"/>
      <c r="D37" s="46" t="n"/>
      <c r="E37" s="46" t="n"/>
      <c r="F37" s="47" t="n"/>
    </row>
    <row r="38" ht="15.75" customHeight="1" s="74">
      <c r="A38" s="46" t="n"/>
      <c r="B38" s="46" t="n"/>
      <c r="C38" s="46" t="n"/>
      <c r="D38" s="46" t="n"/>
      <c r="E38" s="46" t="n"/>
      <c r="F38" s="47" t="n"/>
    </row>
    <row r="39" ht="15.75" customHeight="1" s="74">
      <c r="A39" s="46" t="n"/>
      <c r="B39" s="46" t="n"/>
      <c r="C39" s="46" t="n"/>
      <c r="D39" s="46" t="n"/>
      <c r="E39" s="46" t="n"/>
      <c r="F39" s="47" t="n"/>
    </row>
    <row r="40" ht="15.75" customHeight="1" s="74">
      <c r="A40" s="46" t="n"/>
      <c r="B40" s="46" t="n"/>
      <c r="C40" s="46" t="n"/>
      <c r="D40" s="46" t="n"/>
      <c r="E40" s="46" t="n"/>
      <c r="F40" s="47" t="n"/>
    </row>
    <row r="41" ht="15.75" customHeight="1" s="74">
      <c r="A41" s="46" t="n"/>
      <c r="B41" s="46" t="n"/>
      <c r="C41" s="46" t="n"/>
      <c r="D41" s="46" t="n"/>
      <c r="E41" s="46" t="n"/>
      <c r="F41" s="47" t="n"/>
    </row>
    <row r="42" ht="15.75" customHeight="1" s="74">
      <c r="A42" s="46" t="n"/>
      <c r="B42" s="46" t="n"/>
      <c r="C42" s="46" t="n"/>
      <c r="D42" s="46" t="n"/>
      <c r="E42" s="46" t="n"/>
      <c r="F42" s="47" t="n"/>
    </row>
    <row r="43" ht="15.75" customHeight="1" s="74">
      <c r="A43" s="46" t="n"/>
      <c r="B43" s="46" t="n"/>
      <c r="C43" s="46" t="n"/>
      <c r="D43" s="46" t="n"/>
      <c r="E43" s="46" t="n"/>
      <c r="F43" s="47" t="n"/>
    </row>
    <row r="44" ht="15.75" customHeight="1" s="74">
      <c r="A44" s="46" t="n"/>
      <c r="B44" s="46" t="n"/>
      <c r="C44" s="46" t="n"/>
      <c r="D44" s="46" t="n"/>
      <c r="E44" s="46" t="n"/>
      <c r="F44" s="47" t="n"/>
    </row>
    <row r="45" ht="15.75" customHeight="1" s="74">
      <c r="A45" s="46" t="n"/>
      <c r="B45" s="46" t="n"/>
      <c r="C45" s="46" t="n"/>
      <c r="D45" s="46" t="n"/>
      <c r="E45" s="46" t="n"/>
      <c r="F45" s="47" t="n"/>
    </row>
    <row r="46" ht="15.75" customHeight="1" s="74">
      <c r="A46" s="46" t="n"/>
      <c r="B46" s="46" t="n"/>
      <c r="C46" s="46" t="n"/>
      <c r="D46" s="46" t="n"/>
      <c r="E46" s="46" t="n"/>
      <c r="F46" s="47" t="n"/>
    </row>
    <row r="47" ht="15.75" customHeight="1" s="74">
      <c r="A47" s="46" t="n"/>
      <c r="B47" s="46" t="n"/>
      <c r="C47" s="46" t="n"/>
      <c r="D47" s="46" t="n"/>
      <c r="E47" s="46" t="n"/>
      <c r="F47" s="47" t="n"/>
    </row>
    <row r="48" ht="15.75" customHeight="1" s="74">
      <c r="A48" s="46" t="n"/>
      <c r="B48" s="46" t="n"/>
      <c r="C48" s="46" t="n"/>
      <c r="D48" s="46" t="n"/>
      <c r="E48" s="46" t="n"/>
      <c r="F48" s="47" t="n"/>
    </row>
    <row r="49" ht="15.75" customHeight="1" s="74">
      <c r="A49" s="46" t="n"/>
      <c r="B49" s="46" t="n"/>
      <c r="C49" s="46" t="n"/>
      <c r="D49" s="46" t="n"/>
      <c r="E49" s="46" t="n"/>
      <c r="F49" s="47" t="n"/>
    </row>
    <row r="50" ht="15.75" customHeight="1" s="74">
      <c r="A50" s="46" t="n"/>
      <c r="B50" s="46" t="n"/>
      <c r="C50" s="46" t="n"/>
      <c r="D50" s="46" t="n"/>
      <c r="E50" s="46" t="n"/>
      <c r="F50" s="47" t="n"/>
    </row>
    <row r="51" ht="15.75" customHeight="1" s="74">
      <c r="A51" s="46" t="n"/>
      <c r="B51" s="46" t="n"/>
      <c r="C51" s="46" t="n"/>
      <c r="D51" s="46" t="n"/>
      <c r="E51" s="46" t="n"/>
      <c r="F51" s="47" t="n"/>
    </row>
    <row r="52" ht="15.75" customHeight="1" s="74">
      <c r="A52" s="46" t="n"/>
      <c r="B52" s="46" t="n"/>
      <c r="C52" s="46" t="n"/>
      <c r="D52" s="46" t="n"/>
      <c r="E52" s="46" t="n"/>
      <c r="F52" s="47" t="n"/>
    </row>
    <row r="53" ht="15.75" customHeight="1" s="74">
      <c r="A53" s="46" t="n"/>
      <c r="B53" s="46" t="n"/>
      <c r="C53" s="46" t="n"/>
      <c r="D53" s="46" t="n"/>
      <c r="E53" s="46" t="n"/>
      <c r="F53" s="47" t="n"/>
    </row>
    <row r="54" ht="15.75" customHeight="1" s="74">
      <c r="A54" s="46" t="n"/>
      <c r="B54" s="46" t="n"/>
      <c r="C54" s="46" t="n"/>
      <c r="D54" s="46" t="n"/>
      <c r="E54" s="46" t="n"/>
      <c r="F54" s="47" t="n"/>
    </row>
    <row r="55" ht="15.75" customHeight="1" s="74">
      <c r="A55" s="46" t="n"/>
      <c r="B55" s="46" t="n"/>
      <c r="C55" s="46" t="n"/>
      <c r="D55" s="46" t="n"/>
      <c r="E55" s="46" t="n"/>
      <c r="F55" s="47" t="n"/>
    </row>
    <row r="56" ht="15.75" customHeight="1" s="74">
      <c r="A56" s="46" t="n"/>
      <c r="B56" s="46" t="n"/>
      <c r="C56" s="46" t="n"/>
      <c r="D56" s="46" t="n"/>
      <c r="E56" s="46" t="n"/>
      <c r="F56" s="47" t="n"/>
    </row>
    <row r="57" ht="15.75" customHeight="1" s="74">
      <c r="A57" s="46" t="n"/>
      <c r="B57" s="46" t="n"/>
      <c r="C57" s="46" t="n"/>
      <c r="D57" s="46" t="n"/>
      <c r="E57" s="46" t="n"/>
      <c r="F57" s="47" t="n"/>
    </row>
    <row r="58" ht="15.75" customHeight="1" s="74">
      <c r="A58" s="46" t="n"/>
      <c r="B58" s="46" t="n"/>
      <c r="C58" s="46" t="n"/>
      <c r="D58" s="46" t="n"/>
      <c r="E58" s="46" t="n"/>
      <c r="F58" s="47" t="n"/>
    </row>
    <row r="59" ht="15.75" customHeight="1" s="74">
      <c r="A59" s="46" t="n"/>
      <c r="B59" s="46" t="n"/>
      <c r="C59" s="46" t="n"/>
      <c r="D59" s="46" t="n"/>
      <c r="E59" s="46" t="n"/>
      <c r="F59" s="47" t="n"/>
    </row>
    <row r="60" ht="15.75" customHeight="1" s="74">
      <c r="A60" s="46" t="n"/>
      <c r="B60" s="46" t="n"/>
      <c r="C60" s="46" t="n"/>
      <c r="D60" s="46" t="n"/>
      <c r="E60" s="46" t="n"/>
      <c r="F60" s="47" t="n"/>
    </row>
    <row r="61" ht="15.75" customHeight="1" s="74">
      <c r="A61" s="46" t="n"/>
      <c r="B61" s="46" t="n"/>
      <c r="C61" s="46" t="n"/>
      <c r="D61" s="46" t="n"/>
      <c r="E61" s="46" t="n"/>
      <c r="F61" s="47" t="n"/>
    </row>
    <row r="62" ht="15.75" customHeight="1" s="74">
      <c r="A62" s="46" t="n"/>
      <c r="B62" s="46" t="n"/>
      <c r="C62" s="46" t="n"/>
      <c r="D62" s="46" t="n"/>
      <c r="E62" s="46" t="n"/>
      <c r="F62" s="47" t="n"/>
    </row>
    <row r="63" ht="15.75" customHeight="1" s="74">
      <c r="A63" s="46" t="n"/>
      <c r="B63" s="46" t="n"/>
      <c r="C63" s="46" t="n"/>
      <c r="D63" s="46" t="n"/>
      <c r="E63" s="46" t="n"/>
      <c r="F63" s="47" t="n"/>
    </row>
    <row r="64" ht="15.75" customHeight="1" s="74">
      <c r="A64" s="46" t="n"/>
      <c r="B64" s="46" t="n"/>
      <c r="C64" s="46" t="n"/>
      <c r="D64" s="46" t="n"/>
      <c r="E64" s="46" t="n"/>
      <c r="F64" s="47" t="n"/>
    </row>
    <row r="65" ht="15.75" customHeight="1" s="74">
      <c r="A65" s="46" t="n"/>
      <c r="B65" s="46" t="n"/>
      <c r="C65" s="46" t="n"/>
      <c r="D65" s="46" t="n"/>
      <c r="E65" s="46" t="n"/>
      <c r="F65" s="47" t="n"/>
    </row>
    <row r="66" ht="15.75" customHeight="1" s="74">
      <c r="A66" s="46" t="n"/>
      <c r="B66" s="46" t="n"/>
      <c r="C66" s="46" t="n"/>
      <c r="D66" s="46" t="n"/>
      <c r="E66" s="46" t="n"/>
      <c r="F66" s="47" t="n"/>
    </row>
    <row r="67" ht="15.75" customHeight="1" s="74">
      <c r="A67" s="46" t="n"/>
      <c r="B67" s="46" t="n"/>
      <c r="C67" s="46" t="n"/>
      <c r="D67" s="46" t="n"/>
      <c r="E67" s="46" t="n"/>
      <c r="F67" s="47" t="n"/>
    </row>
    <row r="68" ht="15.75" customHeight="1" s="74">
      <c r="A68" s="46" t="n"/>
      <c r="B68" s="46" t="n"/>
      <c r="C68" s="46" t="n"/>
      <c r="D68" s="46" t="n"/>
      <c r="E68" s="46" t="n"/>
      <c r="F68" s="47" t="n"/>
    </row>
    <row r="69" ht="15.75" customHeight="1" s="74">
      <c r="A69" s="46" t="n"/>
      <c r="B69" s="46" t="n"/>
      <c r="C69" s="46" t="n"/>
      <c r="D69" s="46" t="n"/>
      <c r="E69" s="46" t="n"/>
      <c r="F69" s="47" t="n"/>
    </row>
    <row r="70" ht="15.75" customHeight="1" s="74">
      <c r="A70" s="46" t="n"/>
      <c r="B70" s="46" t="n"/>
      <c r="C70" s="46" t="n"/>
      <c r="D70" s="46" t="n"/>
      <c r="E70" s="46" t="n"/>
      <c r="F70" s="47" t="n"/>
    </row>
    <row r="71" ht="15.75" customHeight="1" s="74">
      <c r="A71" s="46" t="n"/>
      <c r="B71" s="46" t="n"/>
      <c r="C71" s="46" t="n"/>
      <c r="D71" s="46" t="n"/>
      <c r="E71" s="46" t="n"/>
      <c r="F71" s="47" t="n"/>
    </row>
    <row r="72" ht="15.75" customHeight="1" s="74">
      <c r="A72" s="46" t="n"/>
      <c r="B72" s="46" t="n"/>
      <c r="C72" s="46" t="n"/>
      <c r="D72" s="46" t="n"/>
      <c r="E72" s="46" t="n"/>
      <c r="F72" s="47" t="n"/>
    </row>
    <row r="73" ht="15.75" customHeight="1" s="74">
      <c r="A73" s="46" t="n"/>
      <c r="B73" s="46" t="n"/>
      <c r="C73" s="46" t="n"/>
      <c r="D73" s="46" t="n"/>
      <c r="E73" s="46" t="n"/>
      <c r="F73" s="47" t="n"/>
    </row>
    <row r="74" ht="15.75" customHeight="1" s="74">
      <c r="A74" s="46" t="n"/>
      <c r="B74" s="46" t="n"/>
      <c r="C74" s="46" t="n"/>
      <c r="D74" s="46" t="n"/>
      <c r="E74" s="46" t="n"/>
      <c r="F74" s="47" t="n"/>
    </row>
    <row r="75" ht="15.75" customHeight="1" s="74">
      <c r="A75" s="46" t="n"/>
      <c r="B75" s="46" t="n"/>
      <c r="C75" s="46" t="n"/>
      <c r="D75" s="46" t="n"/>
      <c r="E75" s="46" t="n"/>
      <c r="F75" s="47" t="n"/>
    </row>
    <row r="76" ht="15.75" customHeight="1" s="74">
      <c r="A76" s="46" t="n"/>
      <c r="B76" s="46" t="n"/>
      <c r="C76" s="46" t="n"/>
      <c r="D76" s="46" t="n"/>
      <c r="E76" s="46" t="n"/>
      <c r="F76" s="47" t="n"/>
    </row>
    <row r="77" ht="15.75" customHeight="1" s="74">
      <c r="A77" s="46" t="n"/>
      <c r="B77" s="46" t="n"/>
      <c r="C77" s="46" t="n"/>
      <c r="D77" s="46" t="n"/>
      <c r="E77" s="46" t="n"/>
      <c r="F77" s="47" t="n"/>
    </row>
    <row r="78" ht="15.75" customHeight="1" s="74">
      <c r="A78" s="46" t="n"/>
      <c r="B78" s="46" t="n"/>
      <c r="C78" s="46" t="n"/>
      <c r="D78" s="46" t="n"/>
      <c r="E78" s="46" t="n"/>
      <c r="F78" s="47" t="n"/>
    </row>
    <row r="79" ht="15.75" customHeight="1" s="74">
      <c r="A79" s="46" t="n"/>
      <c r="B79" s="46" t="n"/>
      <c r="C79" s="46" t="n"/>
      <c r="D79" s="46" t="n"/>
      <c r="E79" s="46" t="n"/>
      <c r="F79" s="47" t="n"/>
    </row>
    <row r="80" ht="15.75" customHeight="1" s="74">
      <c r="A80" s="46" t="n"/>
      <c r="B80" s="46" t="n"/>
      <c r="C80" s="46" t="n"/>
      <c r="D80" s="46" t="n"/>
      <c r="E80" s="46" t="n"/>
      <c r="F80" s="47" t="n"/>
    </row>
    <row r="81" ht="15.75" customHeight="1" s="74">
      <c r="A81" s="46" t="n"/>
      <c r="B81" s="46" t="n"/>
      <c r="C81" s="46" t="n"/>
      <c r="D81" s="46" t="n"/>
      <c r="E81" s="46" t="n"/>
      <c r="F81" s="47" t="n"/>
    </row>
    <row r="82" ht="15.75" customHeight="1" s="74">
      <c r="A82" s="46" t="n"/>
      <c r="B82" s="46" t="n"/>
      <c r="C82" s="46" t="n"/>
      <c r="D82" s="46" t="n"/>
      <c r="E82" s="46" t="n"/>
      <c r="F82" s="47" t="n"/>
    </row>
    <row r="83" ht="15.75" customHeight="1" s="74">
      <c r="A83" s="46" t="n"/>
      <c r="B83" s="46" t="n"/>
      <c r="C83" s="46" t="n"/>
      <c r="D83" s="46" t="n"/>
      <c r="E83" s="46" t="n"/>
      <c r="F83" s="47" t="n"/>
    </row>
    <row r="84" ht="15.75" customHeight="1" s="74">
      <c r="A84" s="46" t="n"/>
      <c r="B84" s="46" t="n"/>
      <c r="C84" s="46" t="n"/>
      <c r="D84" s="46" t="n"/>
      <c r="E84" s="46" t="n"/>
      <c r="F84" s="47" t="n"/>
    </row>
    <row r="85" ht="15.75" customHeight="1" s="74">
      <c r="A85" s="46" t="n"/>
      <c r="B85" s="46" t="n"/>
      <c r="C85" s="46" t="n"/>
      <c r="D85" s="46" t="n"/>
      <c r="E85" s="46" t="n"/>
      <c r="F85" s="47" t="n"/>
    </row>
    <row r="86" ht="15.75" customHeight="1" s="74">
      <c r="A86" s="46" t="n"/>
      <c r="B86" s="46" t="n"/>
      <c r="C86" s="46" t="n"/>
      <c r="D86" s="46" t="n"/>
      <c r="E86" s="46" t="n"/>
      <c r="F86" s="47" t="n"/>
    </row>
    <row r="87" ht="15.75" customHeight="1" s="74">
      <c r="A87" s="46" t="n"/>
      <c r="B87" s="46" t="n"/>
      <c r="C87" s="46" t="n"/>
      <c r="D87" s="46" t="n"/>
      <c r="E87" s="46" t="n"/>
      <c r="F87" s="47" t="n"/>
    </row>
    <row r="88" ht="15.75" customHeight="1" s="74">
      <c r="A88" s="46" t="n"/>
      <c r="B88" s="46" t="n"/>
      <c r="C88" s="46" t="n"/>
      <c r="D88" s="46" t="n"/>
      <c r="E88" s="46" t="n"/>
      <c r="F88" s="47" t="n"/>
    </row>
    <row r="89" ht="15.75" customHeight="1" s="74">
      <c r="A89" s="46" t="n"/>
      <c r="B89" s="46" t="n"/>
      <c r="C89" s="46" t="n"/>
      <c r="D89" s="46" t="n"/>
      <c r="E89" s="46" t="n"/>
      <c r="F89" s="47" t="n"/>
    </row>
    <row r="90" ht="15.75" customHeight="1" s="74">
      <c r="A90" s="46" t="n"/>
      <c r="B90" s="46" t="n"/>
      <c r="C90" s="46" t="n"/>
      <c r="D90" s="46" t="n"/>
      <c r="E90" s="46" t="n"/>
      <c r="F90" s="47" t="n"/>
    </row>
    <row r="91" ht="15.75" customHeight="1" s="74">
      <c r="A91" s="46" t="n"/>
      <c r="B91" s="46" t="n"/>
      <c r="C91" s="46" t="n"/>
      <c r="D91" s="46" t="n"/>
      <c r="E91" s="46" t="n"/>
      <c r="F91" s="47" t="n"/>
    </row>
    <row r="92" ht="15.75" customHeight="1" s="74">
      <c r="A92" s="46" t="n"/>
      <c r="B92" s="46" t="n"/>
      <c r="C92" s="46" t="n"/>
      <c r="D92" s="46" t="n"/>
      <c r="E92" s="46" t="n"/>
      <c r="F92" s="47" t="n"/>
    </row>
    <row r="93" ht="15.75" customHeight="1" s="74">
      <c r="A93" s="46" t="n"/>
      <c r="B93" s="46" t="n"/>
      <c r="C93" s="46" t="n"/>
      <c r="D93" s="46" t="n"/>
      <c r="E93" s="46" t="n"/>
      <c r="F93" s="47" t="n"/>
    </row>
    <row r="94" ht="15.75" customHeight="1" s="74">
      <c r="A94" s="46" t="n"/>
      <c r="B94" s="46" t="n"/>
      <c r="C94" s="46" t="n"/>
      <c r="D94" s="46" t="n"/>
      <c r="E94" s="46" t="n"/>
      <c r="F94" s="47" t="n"/>
    </row>
    <row r="95" ht="15.75" customHeight="1" s="74">
      <c r="A95" s="46" t="n"/>
      <c r="B95" s="46" t="n"/>
      <c r="C95" s="46" t="n"/>
      <c r="D95" s="46" t="n"/>
      <c r="E95" s="46" t="n"/>
      <c r="F95" s="47" t="n"/>
    </row>
    <row r="96" ht="15.75" customHeight="1" s="74">
      <c r="A96" s="46" t="n"/>
      <c r="B96" s="46" t="n"/>
      <c r="C96" s="46" t="n"/>
      <c r="D96" s="46" t="n"/>
      <c r="E96" s="46" t="n"/>
      <c r="F96" s="47" t="n"/>
    </row>
    <row r="97" ht="15.75" customHeight="1" s="74">
      <c r="A97" s="46" t="n"/>
      <c r="B97" s="46" t="n"/>
      <c r="C97" s="46" t="n"/>
      <c r="D97" s="46" t="n"/>
      <c r="E97" s="46" t="n"/>
      <c r="F97" s="47" t="n"/>
    </row>
    <row r="98" ht="15.75" customHeight="1" s="74">
      <c r="A98" s="46" t="n"/>
      <c r="B98" s="46" t="n"/>
      <c r="C98" s="46" t="n"/>
      <c r="D98" s="46" t="n"/>
      <c r="E98" s="46" t="n"/>
      <c r="F98" s="47" t="n"/>
    </row>
    <row r="99" ht="15.75" customHeight="1" s="74">
      <c r="A99" s="46" t="n"/>
      <c r="B99" s="46" t="n"/>
      <c r="C99" s="46" t="n"/>
      <c r="D99" s="46" t="n"/>
      <c r="E99" s="46" t="n"/>
      <c r="F99" s="47" t="n"/>
    </row>
    <row r="100" ht="15.75" customHeight="1" s="74">
      <c r="A100" s="46" t="n"/>
      <c r="B100" s="46" t="n"/>
      <c r="C100" s="46" t="n"/>
      <c r="D100" s="46" t="n"/>
      <c r="E100" s="46" t="n"/>
      <c r="F100" s="47" t="n"/>
    </row>
    <row r="101" ht="15.75" customHeight="1" s="74">
      <c r="A101" s="46" t="n"/>
      <c r="B101" s="46" t="n"/>
      <c r="C101" s="46" t="n"/>
      <c r="D101" s="46" t="n"/>
      <c r="E101" s="46" t="n"/>
      <c r="F101" s="47" t="n"/>
    </row>
    <row r="102" ht="15.75" customHeight="1" s="74">
      <c r="A102" s="46" t="n"/>
      <c r="B102" s="46" t="n"/>
      <c r="C102" s="46" t="n"/>
      <c r="D102" s="46" t="n"/>
      <c r="E102" s="46" t="n"/>
      <c r="F102" s="47" t="n"/>
    </row>
    <row r="103" ht="15.75" customHeight="1" s="74">
      <c r="A103" s="46" t="n"/>
      <c r="B103" s="46" t="n"/>
      <c r="C103" s="46" t="n"/>
      <c r="D103" s="46" t="n"/>
      <c r="E103" s="46" t="n"/>
      <c r="F103" s="47" t="n"/>
    </row>
    <row r="104" ht="15.75" customHeight="1" s="74">
      <c r="A104" s="46" t="n"/>
      <c r="B104" s="46" t="n"/>
      <c r="C104" s="46" t="n"/>
      <c r="D104" s="46" t="n"/>
      <c r="E104" s="46" t="n"/>
      <c r="F104" s="47" t="n"/>
    </row>
    <row r="105" ht="15.75" customHeight="1" s="74">
      <c r="A105" s="46" t="n"/>
      <c r="B105" s="46" t="n"/>
      <c r="C105" s="46" t="n"/>
      <c r="D105" s="46" t="n"/>
      <c r="E105" s="46" t="n"/>
      <c r="F105" s="47" t="n"/>
    </row>
    <row r="106" ht="15.75" customHeight="1" s="74">
      <c r="A106" s="46" t="n"/>
      <c r="B106" s="46" t="n"/>
      <c r="C106" s="46" t="n"/>
      <c r="D106" s="46" t="n"/>
      <c r="E106" s="46" t="n"/>
      <c r="F106" s="47" t="n"/>
    </row>
    <row r="107" ht="15.75" customHeight="1" s="74">
      <c r="A107" s="46" t="n"/>
      <c r="B107" s="46" t="n"/>
      <c r="C107" s="46" t="n"/>
      <c r="D107" s="46" t="n"/>
      <c r="E107" s="46" t="n"/>
      <c r="F107" s="47" t="n"/>
    </row>
    <row r="108" ht="15.75" customHeight="1" s="74">
      <c r="A108" s="46" t="n"/>
      <c r="B108" s="46" t="n"/>
      <c r="C108" s="46" t="n"/>
      <c r="D108" s="46" t="n"/>
      <c r="E108" s="46" t="n"/>
      <c r="F108" s="47" t="n"/>
    </row>
    <row r="109" ht="15.75" customHeight="1" s="74">
      <c r="A109" s="46" t="n"/>
      <c r="B109" s="46" t="n"/>
      <c r="C109" s="46" t="n"/>
      <c r="D109" s="46" t="n"/>
      <c r="E109" s="46" t="n"/>
      <c r="F109" s="47" t="n"/>
    </row>
    <row r="110" ht="15.75" customHeight="1" s="74">
      <c r="A110" s="46" t="n"/>
      <c r="B110" s="46" t="n"/>
      <c r="C110" s="46" t="n"/>
      <c r="D110" s="46" t="n"/>
      <c r="E110" s="46" t="n"/>
      <c r="F110" s="47" t="n"/>
    </row>
    <row r="111" ht="15.75" customHeight="1" s="74">
      <c r="A111" s="46" t="n"/>
      <c r="B111" s="46" t="n"/>
      <c r="C111" s="46" t="n"/>
      <c r="D111" s="46" t="n"/>
      <c r="E111" s="46" t="n"/>
      <c r="F111" s="47" t="n"/>
    </row>
    <row r="112" ht="15.75" customHeight="1" s="74">
      <c r="A112" s="46" t="n"/>
      <c r="B112" s="46" t="n"/>
      <c r="C112" s="46" t="n"/>
      <c r="D112" s="46" t="n"/>
      <c r="E112" s="46" t="n"/>
      <c r="F112" s="47" t="n"/>
    </row>
    <row r="113" ht="15.75" customHeight="1" s="74">
      <c r="A113" s="46" t="n"/>
      <c r="B113" s="46" t="n"/>
      <c r="C113" s="46" t="n"/>
      <c r="D113" s="46" t="n"/>
      <c r="E113" s="46" t="n"/>
      <c r="F113" s="47" t="n"/>
    </row>
    <row r="114" ht="15.75" customHeight="1" s="74">
      <c r="A114" s="46" t="n"/>
      <c r="B114" s="46" t="n"/>
      <c r="C114" s="46" t="n"/>
      <c r="D114" s="46" t="n"/>
      <c r="E114" s="46" t="n"/>
      <c r="F114" s="47" t="n"/>
    </row>
    <row r="115" ht="15.75" customHeight="1" s="74">
      <c r="A115" s="46" t="n"/>
      <c r="B115" s="46" t="n"/>
      <c r="C115" s="46" t="n"/>
      <c r="D115" s="46" t="n"/>
      <c r="E115" s="46" t="n"/>
      <c r="F115" s="47" t="n"/>
    </row>
    <row r="116" ht="15.75" customHeight="1" s="74">
      <c r="A116" s="46" t="n"/>
      <c r="B116" s="46" t="n"/>
      <c r="C116" s="46" t="n"/>
      <c r="D116" s="46" t="n"/>
      <c r="E116" s="46" t="n"/>
      <c r="F116" s="47" t="n"/>
    </row>
    <row r="117" ht="15.75" customHeight="1" s="74">
      <c r="A117" s="46" t="n"/>
      <c r="B117" s="46" t="n"/>
      <c r="C117" s="46" t="n"/>
      <c r="D117" s="46" t="n"/>
      <c r="E117" s="46" t="n"/>
      <c r="F117" s="47" t="n"/>
    </row>
    <row r="118" ht="15.75" customHeight="1" s="74">
      <c r="A118" s="46" t="n"/>
      <c r="B118" s="46" t="n"/>
      <c r="C118" s="46" t="n"/>
      <c r="D118" s="46" t="n"/>
      <c r="E118" s="46" t="n"/>
      <c r="F118" s="47" t="n"/>
    </row>
    <row r="119" ht="15.75" customHeight="1" s="74">
      <c r="A119" s="46" t="n"/>
      <c r="B119" s="46" t="n"/>
      <c r="C119" s="46" t="n"/>
      <c r="D119" s="46" t="n"/>
      <c r="E119" s="46" t="n"/>
      <c r="F119" s="47" t="n"/>
    </row>
    <row r="120" ht="15.75" customHeight="1" s="74">
      <c r="A120" s="46" t="n"/>
      <c r="B120" s="46" t="n"/>
      <c r="C120" s="46" t="n"/>
      <c r="D120" s="46" t="n"/>
      <c r="E120" s="46" t="n"/>
      <c r="F120" s="47" t="n"/>
    </row>
    <row r="121" ht="15.75" customHeight="1" s="74">
      <c r="A121" s="46" t="n"/>
      <c r="B121" s="46" t="n"/>
      <c r="C121" s="46" t="n"/>
      <c r="D121" s="46" t="n"/>
      <c r="E121" s="46" t="n"/>
      <c r="F121" s="47" t="n"/>
    </row>
    <row r="122" ht="15.75" customHeight="1" s="74">
      <c r="A122" s="46" t="n"/>
      <c r="B122" s="46" t="n"/>
      <c r="C122" s="46" t="n"/>
      <c r="D122" s="46" t="n"/>
      <c r="E122" s="46" t="n"/>
      <c r="F122" s="47" t="n"/>
    </row>
    <row r="123" ht="15.75" customHeight="1" s="74">
      <c r="A123" s="46" t="n"/>
      <c r="B123" s="46" t="n"/>
      <c r="C123" s="46" t="n"/>
      <c r="D123" s="46" t="n"/>
      <c r="E123" s="46" t="n"/>
      <c r="F123" s="47" t="n"/>
    </row>
    <row r="124" ht="15.75" customHeight="1" s="74">
      <c r="A124" s="46" t="n"/>
      <c r="B124" s="46" t="n"/>
      <c r="C124" s="46" t="n"/>
      <c r="D124" s="46" t="n"/>
      <c r="E124" s="46" t="n"/>
      <c r="F124" s="47" t="n"/>
    </row>
    <row r="125" ht="15.75" customHeight="1" s="74">
      <c r="A125" s="46" t="n"/>
      <c r="B125" s="46" t="n"/>
      <c r="C125" s="46" t="n"/>
      <c r="D125" s="46" t="n"/>
      <c r="E125" s="46" t="n"/>
      <c r="F125" s="47" t="n"/>
    </row>
    <row r="126" ht="15.75" customHeight="1" s="74">
      <c r="A126" s="46" t="n"/>
      <c r="B126" s="46" t="n"/>
      <c r="C126" s="46" t="n"/>
      <c r="D126" s="46" t="n"/>
      <c r="E126" s="46" t="n"/>
      <c r="F126" s="47" t="n"/>
    </row>
    <row r="127" ht="15.75" customHeight="1" s="74">
      <c r="A127" s="46" t="n"/>
      <c r="B127" s="46" t="n"/>
      <c r="C127" s="46" t="n"/>
      <c r="D127" s="46" t="n"/>
      <c r="E127" s="46" t="n"/>
      <c r="F127" s="47" t="n"/>
    </row>
    <row r="128" ht="15.75" customHeight="1" s="74">
      <c r="A128" s="46" t="n"/>
      <c r="B128" s="46" t="n"/>
      <c r="C128" s="46" t="n"/>
      <c r="D128" s="46" t="n"/>
      <c r="E128" s="46" t="n"/>
      <c r="F128" s="47" t="n"/>
    </row>
    <row r="129" ht="15.75" customHeight="1" s="74">
      <c r="A129" s="46" t="n"/>
      <c r="B129" s="46" t="n"/>
      <c r="C129" s="46" t="n"/>
      <c r="D129" s="46" t="n"/>
      <c r="E129" s="46" t="n"/>
      <c r="F129" s="47" t="n"/>
    </row>
    <row r="130" ht="15.75" customHeight="1" s="74">
      <c r="A130" s="46" t="n"/>
      <c r="B130" s="46" t="n"/>
      <c r="C130" s="46" t="n"/>
      <c r="D130" s="46" t="n"/>
      <c r="E130" s="46" t="n"/>
      <c r="F130" s="47" t="n"/>
    </row>
    <row r="131" ht="15.75" customHeight="1" s="74">
      <c r="A131" s="46" t="n"/>
      <c r="B131" s="46" t="n"/>
      <c r="C131" s="46" t="n"/>
      <c r="D131" s="46" t="n"/>
      <c r="E131" s="46" t="n"/>
      <c r="F131" s="47" t="n"/>
    </row>
    <row r="132" ht="15.75" customHeight="1" s="74">
      <c r="A132" s="46" t="n"/>
      <c r="B132" s="46" t="n"/>
      <c r="C132" s="46" t="n"/>
      <c r="D132" s="46" t="n"/>
      <c r="E132" s="46" t="n"/>
      <c r="F132" s="47" t="n"/>
    </row>
    <row r="133" ht="15.75" customHeight="1" s="74">
      <c r="A133" s="46" t="n"/>
      <c r="B133" s="46" t="n"/>
      <c r="C133" s="46" t="n"/>
      <c r="D133" s="46" t="n"/>
      <c r="E133" s="46" t="n"/>
      <c r="F133" s="47" t="n"/>
    </row>
    <row r="134" ht="15.75" customHeight="1" s="74">
      <c r="A134" s="46" t="n"/>
      <c r="B134" s="46" t="n"/>
      <c r="C134" s="46" t="n"/>
      <c r="D134" s="46" t="n"/>
      <c r="E134" s="46" t="n"/>
      <c r="F134" s="47" t="n"/>
    </row>
    <row r="135" ht="15.75" customHeight="1" s="74">
      <c r="A135" s="46" t="n"/>
      <c r="B135" s="46" t="n"/>
      <c r="C135" s="46" t="n"/>
      <c r="D135" s="46" t="n"/>
      <c r="E135" s="46" t="n"/>
      <c r="F135" s="47" t="n"/>
    </row>
    <row r="136" ht="15.75" customHeight="1" s="74">
      <c r="A136" s="46" t="n"/>
      <c r="B136" s="46" t="n"/>
      <c r="C136" s="46" t="n"/>
      <c r="D136" s="46" t="n"/>
      <c r="E136" s="46" t="n"/>
      <c r="F136" s="47" t="n"/>
    </row>
    <row r="137" ht="15.75" customHeight="1" s="74">
      <c r="A137" s="46" t="n"/>
      <c r="B137" s="46" t="n"/>
      <c r="C137" s="46" t="n"/>
      <c r="D137" s="46" t="n"/>
      <c r="E137" s="46" t="n"/>
      <c r="F137" s="47" t="n"/>
    </row>
    <row r="138" ht="15.75" customHeight="1" s="74">
      <c r="A138" s="46" t="n"/>
      <c r="B138" s="46" t="n"/>
      <c r="C138" s="46" t="n"/>
      <c r="D138" s="46" t="n"/>
      <c r="E138" s="46" t="n"/>
      <c r="F138" s="47" t="n"/>
    </row>
    <row r="139" ht="15.75" customHeight="1" s="74">
      <c r="A139" s="46" t="n"/>
      <c r="B139" s="46" t="n"/>
      <c r="C139" s="46" t="n"/>
      <c r="D139" s="46" t="n"/>
      <c r="E139" s="46" t="n"/>
      <c r="F139" s="47" t="n"/>
    </row>
    <row r="140" ht="15.75" customHeight="1" s="74">
      <c r="A140" s="46" t="n"/>
      <c r="B140" s="46" t="n"/>
      <c r="C140" s="46" t="n"/>
      <c r="D140" s="46" t="n"/>
      <c r="E140" s="46" t="n"/>
      <c r="F140" s="47" t="n"/>
    </row>
    <row r="141" ht="15.75" customHeight="1" s="74">
      <c r="A141" s="46" t="n"/>
      <c r="B141" s="46" t="n"/>
      <c r="C141" s="46" t="n"/>
      <c r="D141" s="46" t="n"/>
      <c r="E141" s="46" t="n"/>
      <c r="F141" s="47" t="n"/>
    </row>
    <row r="142" ht="15.75" customHeight="1" s="74">
      <c r="A142" s="46" t="n"/>
      <c r="B142" s="46" t="n"/>
      <c r="C142" s="46" t="n"/>
      <c r="D142" s="46" t="n"/>
      <c r="E142" s="46" t="n"/>
      <c r="F142" s="47" t="n"/>
    </row>
    <row r="143" ht="15.75" customHeight="1" s="74">
      <c r="A143" s="46" t="n"/>
      <c r="B143" s="46" t="n"/>
      <c r="C143" s="46" t="n"/>
      <c r="D143" s="46" t="n"/>
      <c r="E143" s="46" t="n"/>
      <c r="F143" s="47" t="n"/>
    </row>
    <row r="144" ht="15.75" customHeight="1" s="74">
      <c r="A144" s="46" t="n"/>
      <c r="B144" s="46" t="n"/>
      <c r="C144" s="46" t="n"/>
      <c r="D144" s="46" t="n"/>
      <c r="E144" s="46" t="n"/>
      <c r="F144" s="47" t="n"/>
    </row>
    <row r="145" ht="15.75" customHeight="1" s="74">
      <c r="A145" s="46" t="n"/>
      <c r="B145" s="46" t="n"/>
      <c r="C145" s="46" t="n"/>
      <c r="D145" s="46" t="n"/>
      <c r="E145" s="46" t="n"/>
      <c r="F145" s="47" t="n"/>
    </row>
    <row r="146" ht="15.75" customHeight="1" s="74">
      <c r="A146" s="46" t="n"/>
      <c r="B146" s="46" t="n"/>
      <c r="C146" s="46" t="n"/>
      <c r="D146" s="46" t="n"/>
      <c r="E146" s="46" t="n"/>
      <c r="F146" s="47" t="n"/>
    </row>
    <row r="147" ht="15.75" customHeight="1" s="74">
      <c r="A147" s="46" t="n"/>
      <c r="B147" s="46" t="n"/>
      <c r="C147" s="46" t="n"/>
      <c r="D147" s="46" t="n"/>
      <c r="E147" s="46" t="n"/>
      <c r="F147" s="47" t="n"/>
    </row>
    <row r="148" ht="15.75" customHeight="1" s="74">
      <c r="A148" s="46" t="n"/>
      <c r="B148" s="46" t="n"/>
      <c r="C148" s="46" t="n"/>
      <c r="D148" s="46" t="n"/>
      <c r="E148" s="46" t="n"/>
      <c r="F148" s="47" t="n"/>
    </row>
    <row r="149" ht="15.75" customHeight="1" s="74">
      <c r="A149" s="46" t="n"/>
      <c r="B149" s="46" t="n"/>
      <c r="C149" s="46" t="n"/>
      <c r="D149" s="46" t="n"/>
      <c r="E149" s="46" t="n"/>
      <c r="F149" s="47" t="n"/>
    </row>
    <row r="150" ht="15.75" customHeight="1" s="74">
      <c r="A150" s="46" t="n"/>
      <c r="B150" s="46" t="n"/>
      <c r="C150" s="46" t="n"/>
      <c r="D150" s="46" t="n"/>
      <c r="E150" s="46" t="n"/>
      <c r="F150" s="47" t="n"/>
    </row>
    <row r="151" ht="15.75" customHeight="1" s="74">
      <c r="A151" s="46" t="n"/>
      <c r="B151" s="46" t="n"/>
      <c r="C151" s="46" t="n"/>
      <c r="D151" s="46" t="n"/>
      <c r="E151" s="46" t="n"/>
      <c r="F151" s="47" t="n"/>
    </row>
    <row r="152" ht="15.75" customHeight="1" s="74">
      <c r="A152" s="46" t="n"/>
      <c r="B152" s="46" t="n"/>
      <c r="C152" s="46" t="n"/>
      <c r="D152" s="46" t="n"/>
      <c r="E152" s="46" t="n"/>
      <c r="F152" s="47" t="n"/>
    </row>
    <row r="153" ht="15.75" customHeight="1" s="74">
      <c r="A153" s="46" t="n"/>
      <c r="B153" s="46" t="n"/>
      <c r="C153" s="46" t="n"/>
      <c r="D153" s="46" t="n"/>
      <c r="E153" s="46" t="n"/>
      <c r="F153" s="47" t="n"/>
    </row>
    <row r="154" ht="15.75" customHeight="1" s="74">
      <c r="A154" s="46" t="n"/>
      <c r="B154" s="46" t="n"/>
      <c r="C154" s="46" t="n"/>
      <c r="D154" s="46" t="n"/>
      <c r="E154" s="46" t="n"/>
      <c r="F154" s="47" t="n"/>
    </row>
    <row r="155" ht="15.75" customHeight="1" s="74">
      <c r="A155" s="46" t="n"/>
      <c r="B155" s="46" t="n"/>
      <c r="C155" s="46" t="n"/>
      <c r="D155" s="46" t="n"/>
      <c r="E155" s="46" t="n"/>
      <c r="F155" s="47" t="n"/>
    </row>
    <row r="156" ht="15.75" customHeight="1" s="74">
      <c r="A156" s="46" t="n"/>
      <c r="B156" s="46" t="n"/>
      <c r="C156" s="46" t="n"/>
      <c r="D156" s="46" t="n"/>
      <c r="E156" s="46" t="n"/>
      <c r="F156" s="47" t="n"/>
    </row>
    <row r="157" ht="15.75" customHeight="1" s="74">
      <c r="A157" s="46" t="n"/>
      <c r="B157" s="46" t="n"/>
      <c r="C157" s="46" t="n"/>
      <c r="D157" s="46" t="n"/>
      <c r="E157" s="46" t="n"/>
      <c r="F157" s="47" t="n"/>
    </row>
    <row r="158" ht="15.75" customHeight="1" s="74">
      <c r="A158" s="46" t="n"/>
      <c r="B158" s="46" t="n"/>
      <c r="C158" s="46" t="n"/>
      <c r="D158" s="46" t="n"/>
      <c r="E158" s="46" t="n"/>
      <c r="F158" s="47" t="n"/>
    </row>
    <row r="159" ht="15.75" customHeight="1" s="74">
      <c r="A159" s="46" t="n"/>
      <c r="B159" s="46" t="n"/>
      <c r="C159" s="46" t="n"/>
      <c r="D159" s="46" t="n"/>
      <c r="E159" s="46" t="n"/>
      <c r="F159" s="47" t="n"/>
    </row>
    <row r="160" ht="15.75" customHeight="1" s="74">
      <c r="A160" s="46" t="n"/>
      <c r="B160" s="46" t="n"/>
      <c r="C160" s="46" t="n"/>
      <c r="D160" s="46" t="n"/>
      <c r="E160" s="46" t="n"/>
      <c r="F160" s="47" t="n"/>
    </row>
    <row r="161" ht="15.75" customHeight="1" s="74">
      <c r="A161" s="46" t="n"/>
      <c r="B161" s="46" t="n"/>
      <c r="C161" s="46" t="n"/>
      <c r="D161" s="46" t="n"/>
      <c r="E161" s="46" t="n"/>
      <c r="F161" s="47" t="n"/>
    </row>
    <row r="162" ht="15.75" customHeight="1" s="74">
      <c r="A162" s="46" t="n"/>
      <c r="B162" s="46" t="n"/>
      <c r="C162" s="46" t="n"/>
      <c r="D162" s="46" t="n"/>
      <c r="E162" s="46" t="n"/>
      <c r="F162" s="47" t="n"/>
    </row>
    <row r="163" ht="15.75" customHeight="1" s="74">
      <c r="A163" s="46" t="n"/>
      <c r="B163" s="46" t="n"/>
      <c r="C163" s="46" t="n"/>
      <c r="D163" s="46" t="n"/>
      <c r="E163" s="46" t="n"/>
      <c r="F163" s="47" t="n"/>
    </row>
    <row r="164" ht="15.75" customHeight="1" s="74">
      <c r="A164" s="46" t="n"/>
      <c r="B164" s="46" t="n"/>
      <c r="C164" s="46" t="n"/>
      <c r="D164" s="46" t="n"/>
      <c r="E164" s="46" t="n"/>
      <c r="F164" s="47" t="n"/>
    </row>
    <row r="165" ht="15.75" customHeight="1" s="74">
      <c r="A165" s="46" t="n"/>
      <c r="B165" s="46" t="n"/>
      <c r="C165" s="46" t="n"/>
      <c r="D165" s="46" t="n"/>
      <c r="E165" s="46" t="n"/>
      <c r="F165" s="47" t="n"/>
    </row>
    <row r="166" ht="15.75" customHeight="1" s="74">
      <c r="A166" s="46" t="n"/>
      <c r="B166" s="46" t="n"/>
      <c r="C166" s="46" t="n"/>
      <c r="D166" s="46" t="n"/>
      <c r="E166" s="46" t="n"/>
      <c r="F166" s="47" t="n"/>
    </row>
    <row r="167" ht="15.75" customHeight="1" s="74">
      <c r="A167" s="46" t="n"/>
      <c r="B167" s="46" t="n"/>
      <c r="C167" s="46" t="n"/>
      <c r="D167" s="46" t="n"/>
      <c r="E167" s="46" t="n"/>
      <c r="F167" s="47" t="n"/>
    </row>
    <row r="168" ht="15.75" customHeight="1" s="74">
      <c r="A168" s="46" t="n"/>
      <c r="B168" s="46" t="n"/>
      <c r="C168" s="46" t="n"/>
      <c r="D168" s="46" t="n"/>
      <c r="E168" s="46" t="n"/>
      <c r="F168" s="47" t="n"/>
    </row>
    <row r="169" ht="15.75" customHeight="1" s="74">
      <c r="A169" s="46" t="n"/>
      <c r="B169" s="46" t="n"/>
      <c r="C169" s="46" t="n"/>
      <c r="D169" s="46" t="n"/>
      <c r="E169" s="46" t="n"/>
      <c r="F169" s="47" t="n"/>
    </row>
    <row r="170" ht="15.75" customHeight="1" s="74">
      <c r="A170" s="46" t="n"/>
      <c r="B170" s="46" t="n"/>
      <c r="C170" s="46" t="n"/>
      <c r="D170" s="46" t="n"/>
      <c r="E170" s="46" t="n"/>
      <c r="F170" s="47" t="n"/>
    </row>
    <row r="171" ht="15.75" customHeight="1" s="74">
      <c r="A171" s="46" t="n"/>
      <c r="B171" s="46" t="n"/>
      <c r="C171" s="46" t="n"/>
      <c r="D171" s="46" t="n"/>
      <c r="E171" s="46" t="n"/>
      <c r="F171" s="47" t="n"/>
    </row>
    <row r="172" ht="15.75" customHeight="1" s="74">
      <c r="A172" s="46" t="n"/>
      <c r="B172" s="46" t="n"/>
      <c r="C172" s="46" t="n"/>
      <c r="D172" s="46" t="n"/>
      <c r="E172" s="46" t="n"/>
      <c r="F172" s="47" t="n"/>
    </row>
    <row r="173" ht="15.75" customHeight="1" s="74">
      <c r="A173" s="46" t="n"/>
      <c r="B173" s="46" t="n"/>
      <c r="C173" s="46" t="n"/>
      <c r="D173" s="46" t="n"/>
      <c r="E173" s="46" t="n"/>
      <c r="F173" s="47" t="n"/>
    </row>
    <row r="174" ht="15.75" customHeight="1" s="74">
      <c r="A174" s="46" t="n"/>
      <c r="B174" s="46" t="n"/>
      <c r="C174" s="46" t="n"/>
      <c r="D174" s="46" t="n"/>
      <c r="E174" s="46" t="n"/>
      <c r="F174" s="47" t="n"/>
    </row>
    <row r="175" ht="15.75" customHeight="1" s="74">
      <c r="A175" s="46" t="n"/>
      <c r="B175" s="46" t="n"/>
      <c r="C175" s="46" t="n"/>
      <c r="D175" s="46" t="n"/>
      <c r="E175" s="46" t="n"/>
      <c r="F175" s="47" t="n"/>
    </row>
    <row r="176" ht="15.75" customHeight="1" s="74">
      <c r="A176" s="46" t="n"/>
      <c r="B176" s="46" t="n"/>
      <c r="C176" s="46" t="n"/>
      <c r="D176" s="46" t="n"/>
      <c r="E176" s="46" t="n"/>
      <c r="F176" s="47" t="n"/>
    </row>
    <row r="177" ht="15.75" customHeight="1" s="74">
      <c r="A177" s="46" t="n"/>
      <c r="B177" s="46" t="n"/>
      <c r="C177" s="46" t="n"/>
      <c r="D177" s="46" t="n"/>
      <c r="E177" s="46" t="n"/>
      <c r="F177" s="47" t="n"/>
    </row>
    <row r="178" ht="15.75" customHeight="1" s="74">
      <c r="A178" s="46" t="n"/>
      <c r="B178" s="46" t="n"/>
      <c r="C178" s="46" t="n"/>
      <c r="D178" s="46" t="n"/>
      <c r="E178" s="46" t="n"/>
      <c r="F178" s="47" t="n"/>
    </row>
    <row r="179" ht="15.75" customHeight="1" s="74">
      <c r="A179" s="46" t="n"/>
      <c r="B179" s="46" t="n"/>
      <c r="C179" s="46" t="n"/>
      <c r="D179" s="46" t="n"/>
      <c r="E179" s="46" t="n"/>
      <c r="F179" s="47" t="n"/>
    </row>
    <row r="180" ht="15.75" customHeight="1" s="74">
      <c r="A180" s="46" t="n"/>
      <c r="B180" s="46" t="n"/>
      <c r="C180" s="46" t="n"/>
      <c r="D180" s="46" t="n"/>
      <c r="E180" s="46" t="n"/>
      <c r="F180" s="47" t="n"/>
    </row>
    <row r="181" ht="15.75" customHeight="1" s="74">
      <c r="A181" s="46" t="n"/>
      <c r="B181" s="46" t="n"/>
      <c r="C181" s="46" t="n"/>
      <c r="D181" s="46" t="n"/>
      <c r="E181" s="46" t="n"/>
      <c r="F181" s="47" t="n"/>
    </row>
    <row r="182" ht="15.75" customHeight="1" s="74">
      <c r="A182" s="46" t="n"/>
      <c r="B182" s="46" t="n"/>
      <c r="C182" s="46" t="n"/>
      <c r="D182" s="46" t="n"/>
      <c r="E182" s="46" t="n"/>
      <c r="F182" s="47" t="n"/>
    </row>
    <row r="183" ht="15.75" customHeight="1" s="74">
      <c r="A183" s="46" t="n"/>
      <c r="B183" s="46" t="n"/>
      <c r="C183" s="46" t="n"/>
      <c r="D183" s="46" t="n"/>
      <c r="E183" s="46" t="n"/>
      <c r="F183" s="47" t="n"/>
    </row>
    <row r="184" ht="15.75" customHeight="1" s="74">
      <c r="A184" s="46" t="n"/>
      <c r="B184" s="46" t="n"/>
      <c r="C184" s="46" t="n"/>
      <c r="D184" s="46" t="n"/>
      <c r="E184" s="46" t="n"/>
      <c r="F184" s="47" t="n"/>
    </row>
    <row r="185" ht="15.75" customHeight="1" s="74">
      <c r="A185" s="46" t="n"/>
      <c r="B185" s="46" t="n"/>
      <c r="C185" s="46" t="n"/>
      <c r="D185" s="46" t="n"/>
      <c r="E185" s="46" t="n"/>
      <c r="F185" s="47" t="n"/>
    </row>
    <row r="186" ht="15.75" customHeight="1" s="74">
      <c r="A186" s="46" t="n"/>
      <c r="B186" s="46" t="n"/>
      <c r="C186" s="46" t="n"/>
      <c r="D186" s="46" t="n"/>
      <c r="E186" s="46" t="n"/>
      <c r="F186" s="47" t="n"/>
    </row>
    <row r="187" ht="15.75" customHeight="1" s="74">
      <c r="A187" s="46" t="n"/>
      <c r="B187" s="46" t="n"/>
      <c r="C187" s="46" t="n"/>
      <c r="D187" s="46" t="n"/>
      <c r="E187" s="46" t="n"/>
      <c r="F187" s="47" t="n"/>
    </row>
    <row r="188" ht="15.75" customHeight="1" s="74">
      <c r="A188" s="46" t="n"/>
      <c r="B188" s="46" t="n"/>
      <c r="C188" s="46" t="n"/>
      <c r="D188" s="46" t="n"/>
      <c r="E188" s="46" t="n"/>
      <c r="F188" s="47" t="n"/>
    </row>
    <row r="189" ht="15.75" customHeight="1" s="74">
      <c r="A189" s="46" t="n"/>
      <c r="B189" s="46" t="n"/>
      <c r="C189" s="46" t="n"/>
      <c r="D189" s="46" t="n"/>
      <c r="E189" s="46" t="n"/>
      <c r="F189" s="47" t="n"/>
    </row>
    <row r="190" ht="15.75" customHeight="1" s="74">
      <c r="A190" s="46" t="n"/>
      <c r="B190" s="46" t="n"/>
      <c r="C190" s="46" t="n"/>
      <c r="D190" s="46" t="n"/>
      <c r="E190" s="46" t="n"/>
      <c r="F190" s="47" t="n"/>
    </row>
    <row r="191" ht="15.75" customHeight="1" s="74">
      <c r="A191" s="46" t="n"/>
      <c r="B191" s="46" t="n"/>
      <c r="C191" s="46" t="n"/>
      <c r="D191" s="46" t="n"/>
      <c r="E191" s="46" t="n"/>
      <c r="F191" s="47" t="n"/>
    </row>
    <row r="192" ht="15.75" customHeight="1" s="74">
      <c r="A192" s="46" t="n"/>
      <c r="B192" s="46" t="n"/>
      <c r="C192" s="46" t="n"/>
      <c r="D192" s="46" t="n"/>
      <c r="E192" s="46" t="n"/>
      <c r="F192" s="47" t="n"/>
    </row>
    <row r="193" ht="15.75" customHeight="1" s="74">
      <c r="A193" s="46" t="n"/>
      <c r="B193" s="46" t="n"/>
      <c r="C193" s="46" t="n"/>
      <c r="D193" s="46" t="n"/>
      <c r="E193" s="46" t="n"/>
      <c r="F193" s="47" t="n"/>
    </row>
    <row r="194" ht="15.75" customHeight="1" s="74">
      <c r="A194" s="46" t="n"/>
      <c r="B194" s="46" t="n"/>
      <c r="C194" s="46" t="n"/>
      <c r="D194" s="46" t="n"/>
      <c r="E194" s="46" t="n"/>
      <c r="F194" s="47" t="n"/>
    </row>
    <row r="195" ht="15.75" customHeight="1" s="74">
      <c r="A195" s="46" t="n"/>
      <c r="B195" s="46" t="n"/>
      <c r="C195" s="46" t="n"/>
      <c r="D195" s="46" t="n"/>
      <c r="E195" s="46" t="n"/>
      <c r="F195" s="47" t="n"/>
    </row>
    <row r="196" ht="15.75" customHeight="1" s="74">
      <c r="A196" s="46" t="n"/>
      <c r="B196" s="46" t="n"/>
      <c r="C196" s="46" t="n"/>
      <c r="D196" s="46" t="n"/>
      <c r="E196" s="46" t="n"/>
      <c r="F196" s="47" t="n"/>
    </row>
    <row r="197" ht="15.75" customHeight="1" s="74">
      <c r="A197" s="46" t="n"/>
      <c r="B197" s="46" t="n"/>
      <c r="C197" s="46" t="n"/>
      <c r="D197" s="46" t="n"/>
      <c r="E197" s="46" t="n"/>
      <c r="F197" s="47" t="n"/>
    </row>
    <row r="198" ht="15.75" customHeight="1" s="74">
      <c r="A198" s="46" t="n"/>
      <c r="B198" s="46" t="n"/>
      <c r="C198" s="46" t="n"/>
      <c r="D198" s="46" t="n"/>
      <c r="E198" s="46" t="n"/>
      <c r="F198" s="47" t="n"/>
    </row>
    <row r="199" ht="15.75" customHeight="1" s="74">
      <c r="A199" s="46" t="n"/>
      <c r="B199" s="46" t="n"/>
      <c r="C199" s="46" t="n"/>
      <c r="D199" s="46" t="n"/>
      <c r="E199" s="46" t="n"/>
      <c r="F199" s="47" t="n"/>
    </row>
    <row r="200" ht="15.75" customHeight="1" s="74">
      <c r="A200" s="46" t="n"/>
      <c r="B200" s="46" t="n"/>
      <c r="C200" s="46" t="n"/>
      <c r="D200" s="46" t="n"/>
      <c r="E200" s="46" t="n"/>
      <c r="F200" s="47" t="n"/>
    </row>
    <row r="201" ht="15.75" customHeight="1" s="74">
      <c r="A201" s="46" t="n"/>
      <c r="B201" s="46" t="n"/>
      <c r="C201" s="46" t="n"/>
      <c r="D201" s="46" t="n"/>
      <c r="E201" s="46" t="n"/>
      <c r="F201" s="47" t="n"/>
    </row>
    <row r="202" ht="15.75" customHeight="1" s="74">
      <c r="A202" s="46" t="n"/>
      <c r="B202" s="46" t="n"/>
      <c r="C202" s="46" t="n"/>
      <c r="D202" s="46" t="n"/>
      <c r="E202" s="46" t="n"/>
      <c r="F202" s="47" t="n"/>
    </row>
    <row r="203" ht="15.75" customHeight="1" s="74">
      <c r="A203" s="46" t="n"/>
      <c r="B203" s="46" t="n"/>
      <c r="C203" s="46" t="n"/>
      <c r="D203" s="46" t="n"/>
      <c r="E203" s="46" t="n"/>
      <c r="F203" s="47" t="n"/>
    </row>
    <row r="204" ht="15.75" customHeight="1" s="74">
      <c r="A204" s="46" t="n"/>
      <c r="B204" s="46" t="n"/>
      <c r="C204" s="46" t="n"/>
      <c r="D204" s="46" t="n"/>
      <c r="E204" s="46" t="n"/>
      <c r="F204" s="47" t="n"/>
    </row>
    <row r="205" ht="15.75" customHeight="1" s="74">
      <c r="A205" s="46" t="n"/>
      <c r="B205" s="46" t="n"/>
      <c r="C205" s="46" t="n"/>
      <c r="D205" s="46" t="n"/>
      <c r="E205" s="46" t="n"/>
      <c r="F205" s="47" t="n"/>
    </row>
    <row r="206" ht="15.75" customHeight="1" s="74">
      <c r="A206" s="46" t="n"/>
      <c r="B206" s="46" t="n"/>
      <c r="C206" s="46" t="n"/>
      <c r="D206" s="46" t="n"/>
      <c r="E206" s="46" t="n"/>
      <c r="F206" s="47" t="n"/>
    </row>
    <row r="207" ht="15.75" customHeight="1" s="74">
      <c r="A207" s="46" t="n"/>
      <c r="B207" s="46" t="n"/>
      <c r="C207" s="46" t="n"/>
      <c r="D207" s="46" t="n"/>
      <c r="E207" s="46" t="n"/>
      <c r="F207" s="47" t="n"/>
    </row>
    <row r="208" ht="15.75" customHeight="1" s="74">
      <c r="A208" s="46" t="n"/>
      <c r="B208" s="46" t="n"/>
      <c r="C208" s="46" t="n"/>
      <c r="D208" s="46" t="n"/>
      <c r="E208" s="46" t="n"/>
      <c r="F208" s="47" t="n"/>
    </row>
    <row r="209" ht="15.75" customHeight="1" s="74">
      <c r="A209" s="46" t="n"/>
      <c r="B209" s="46" t="n"/>
      <c r="C209" s="46" t="n"/>
      <c r="D209" s="46" t="n"/>
      <c r="E209" s="46" t="n"/>
      <c r="F209" s="47" t="n"/>
    </row>
    <row r="210" ht="15.75" customHeight="1" s="74">
      <c r="A210" s="46" t="n"/>
      <c r="B210" s="46" t="n"/>
      <c r="C210" s="46" t="n"/>
      <c r="D210" s="46" t="n"/>
      <c r="E210" s="46" t="n"/>
      <c r="F210" s="47" t="n"/>
    </row>
    <row r="211" ht="15.75" customHeight="1" s="74">
      <c r="A211" s="46" t="n"/>
      <c r="B211" s="46" t="n"/>
      <c r="C211" s="46" t="n"/>
      <c r="D211" s="46" t="n"/>
      <c r="E211" s="46" t="n"/>
      <c r="F211" s="47" t="n"/>
    </row>
    <row r="212" ht="15.75" customHeight="1" s="74">
      <c r="A212" s="46" t="n"/>
      <c r="B212" s="46" t="n"/>
      <c r="C212" s="46" t="n"/>
      <c r="D212" s="46" t="n"/>
      <c r="E212" s="46" t="n"/>
      <c r="F212" s="47" t="n"/>
    </row>
    <row r="213" ht="15.75" customHeight="1" s="74">
      <c r="A213" s="46" t="n"/>
      <c r="B213" s="46" t="n"/>
      <c r="C213" s="46" t="n"/>
      <c r="D213" s="46" t="n"/>
      <c r="E213" s="46" t="n"/>
      <c r="F213" s="47" t="n"/>
    </row>
    <row r="214" ht="15.75" customHeight="1" s="74">
      <c r="A214" s="46" t="n"/>
      <c r="B214" s="46" t="n"/>
      <c r="C214" s="46" t="n"/>
      <c r="D214" s="46" t="n"/>
      <c r="E214" s="46" t="n"/>
      <c r="F214" s="47" t="n"/>
    </row>
    <row r="215" ht="15.75" customHeight="1" s="74">
      <c r="A215" s="46" t="n"/>
      <c r="B215" s="46" t="n"/>
      <c r="C215" s="46" t="n"/>
      <c r="D215" s="46" t="n"/>
      <c r="E215" s="46" t="n"/>
      <c r="F215" s="47" t="n"/>
    </row>
    <row r="216" ht="15.75" customHeight="1" s="74">
      <c r="A216" s="46" t="n"/>
      <c r="B216" s="46" t="n"/>
      <c r="C216" s="46" t="n"/>
      <c r="D216" s="46" t="n"/>
      <c r="E216" s="46" t="n"/>
      <c r="F216" s="47" t="n"/>
    </row>
    <row r="217" ht="15.75" customHeight="1" s="74">
      <c r="A217" s="46" t="n"/>
      <c r="B217" s="46" t="n"/>
      <c r="C217" s="46" t="n"/>
      <c r="D217" s="46" t="n"/>
      <c r="E217" s="46" t="n"/>
      <c r="F217" s="47" t="n"/>
    </row>
    <row r="218" ht="15.75" customHeight="1" s="74">
      <c r="A218" s="46" t="n"/>
      <c r="B218" s="46" t="n"/>
      <c r="C218" s="46" t="n"/>
      <c r="D218" s="46" t="n"/>
      <c r="E218" s="46" t="n"/>
      <c r="F218" s="47" t="n"/>
    </row>
    <row r="219" ht="15.75" customHeight="1" s="74">
      <c r="A219" s="46" t="n"/>
      <c r="B219" s="46" t="n"/>
      <c r="C219" s="46" t="n"/>
      <c r="D219" s="46" t="n"/>
      <c r="E219" s="46" t="n"/>
      <c r="F219" s="47" t="n"/>
    </row>
    <row r="220" ht="15.75" customHeight="1" s="74">
      <c r="A220" s="46" t="n"/>
      <c r="B220" s="46" t="n"/>
      <c r="C220" s="46" t="n"/>
      <c r="D220" s="46" t="n"/>
      <c r="E220" s="46" t="n"/>
      <c r="F220" s="47" t="n"/>
    </row>
    <row r="221" ht="15.75" customHeight="1" s="74">
      <c r="A221" s="46" t="n"/>
      <c r="B221" s="46" t="n"/>
      <c r="C221" s="46" t="n"/>
      <c r="D221" s="46" t="n"/>
      <c r="E221" s="46" t="n"/>
      <c r="F221" s="47" t="n"/>
    </row>
    <row r="222" ht="15.75" customHeight="1" s="74">
      <c r="A222" s="46" t="n"/>
      <c r="B222" s="46" t="n"/>
      <c r="C222" s="46" t="n"/>
      <c r="D222" s="46" t="n"/>
      <c r="E222" s="46" t="n"/>
      <c r="F222" s="47" t="n"/>
    </row>
    <row r="223" ht="15.75" customHeight="1" s="74">
      <c r="A223" s="46" t="n"/>
      <c r="B223" s="46" t="n"/>
      <c r="C223" s="46" t="n"/>
      <c r="D223" s="46" t="n"/>
      <c r="E223" s="46" t="n"/>
      <c r="F223" s="47" t="n"/>
    </row>
    <row r="224" ht="15.75" customHeight="1" s="74">
      <c r="A224" s="46" t="n"/>
      <c r="B224" s="46" t="n"/>
      <c r="C224" s="46" t="n"/>
      <c r="D224" s="46" t="n"/>
      <c r="E224" s="46" t="n"/>
      <c r="F224" s="47" t="n"/>
    </row>
    <row r="225" ht="15.75" customHeight="1" s="74">
      <c r="A225" s="46" t="n"/>
      <c r="B225" s="46" t="n"/>
      <c r="C225" s="46" t="n"/>
      <c r="D225" s="46" t="n"/>
      <c r="E225" s="46" t="n"/>
      <c r="F225" s="47" t="n"/>
    </row>
    <row r="226" ht="15.75" customHeight="1" s="74">
      <c r="A226" s="46" t="n"/>
      <c r="B226" s="46" t="n"/>
      <c r="C226" s="46" t="n"/>
      <c r="D226" s="46" t="n"/>
      <c r="E226" s="46" t="n"/>
      <c r="F226" s="47" t="n"/>
    </row>
    <row r="227" ht="15.75" customHeight="1" s="74">
      <c r="A227" s="46" t="n"/>
      <c r="B227" s="46" t="n"/>
      <c r="C227" s="46" t="n"/>
      <c r="D227" s="46" t="n"/>
      <c r="E227" s="46" t="n"/>
      <c r="F227" s="47" t="n"/>
    </row>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8">
    <mergeCell ref="A2:F2"/>
    <mergeCell ref="A27:F29"/>
    <mergeCell ref="A13:F13"/>
    <mergeCell ref="A1:F1"/>
    <mergeCell ref="A31:F31"/>
    <mergeCell ref="A4:F4"/>
    <mergeCell ref="A15:F15"/>
    <mergeCell ref="A25:F25"/>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2026-10-15T12:06:04Z</dcterms:created>
  <dcterms:modified xsi:type="dcterms:W3CDTF">2026-10-15T12:27:03Z</dcterms:modified>
</cp:coreProperties>
</file>